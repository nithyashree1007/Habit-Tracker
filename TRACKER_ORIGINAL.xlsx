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<sst xmlns="http://schemas.openxmlformats.org/spreadsheetml/2006/main" count="92" uniqueCount="59">
  <si>
    <t>JANUARY</t>
  </si>
  <si>
    <t>HABIT TRACKER</t>
  </si>
  <si>
    <t>OVERVIEW DAILY PROGRESS</t>
  </si>
  <si>
    <t>FEBRUARY</t>
  </si>
  <si>
    <t>COMPLETED</t>
  </si>
  <si>
    <t>MARCH</t>
  </si>
  <si>
    <t>LEFT</t>
  </si>
  <si>
    <t>APRIL</t>
  </si>
  <si>
    <t>TARGET</t>
  </si>
  <si>
    <t>MAY</t>
  </si>
  <si>
    <t>JUNE</t>
  </si>
  <si>
    <t>JULY</t>
  </si>
  <si>
    <t>AUGUST</t>
  </si>
  <si>
    <t>CALANDER SETTINGS</t>
  </si>
  <si>
    <t>SEPTEMBER</t>
  </si>
  <si>
    <t>YEAR</t>
  </si>
  <si>
    <t>OCTOBER</t>
  </si>
  <si>
    <t>MONTH</t>
  </si>
  <si>
    <t>NOVEMBER</t>
  </si>
  <si>
    <t>DECEMBER</t>
  </si>
  <si>
    <t>OVERVIEW</t>
  </si>
  <si>
    <t>WEEK 1</t>
  </si>
  <si>
    <t>WEEK 2</t>
  </si>
  <si>
    <t>WEEK 3</t>
  </si>
  <si>
    <t>WEEK 4</t>
  </si>
  <si>
    <t>WEEK 5</t>
  </si>
  <si>
    <t>TOP 10 DAILY HABITS</t>
  </si>
  <si>
    <t>GLOBAL PROGRESS</t>
  </si>
  <si>
    <t xml:space="preserve">COMPLETED </t>
  </si>
  <si>
    <t>GOAL</t>
  </si>
  <si>
    <t xml:space="preserve"> WEEKLY PROGRESS</t>
  </si>
  <si>
    <t>DAILY HABITS</t>
  </si>
  <si>
    <t>GOALS</t>
  </si>
  <si>
    <t>PROGRESS</t>
  </si>
  <si>
    <t>Drink 2–3 liters of water</t>
  </si>
  <si>
    <t>Morning stretch</t>
  </si>
  <si>
    <t>Review weekly goals</t>
  </si>
  <si>
    <t>Workout (30 min)</t>
  </si>
  <si>
    <t>Language practice / learning</t>
  </si>
  <si>
    <t>Take vitamins / supplements</t>
  </si>
  <si>
    <t>Sleep 7–8 hours</t>
  </si>
  <si>
    <t>Eat 3 balanced meals</t>
  </si>
  <si>
    <t>Skincare routine</t>
  </si>
  <si>
    <t>Mindfulness (10 min)</t>
  </si>
  <si>
    <t>Plan your day</t>
  </si>
  <si>
    <t>Positive affirmations</t>
  </si>
  <si>
    <t>Read 20–30 minutes</t>
  </si>
  <si>
    <t>Take short breaks during work</t>
  </si>
  <si>
    <t>Learn something new</t>
  </si>
  <si>
    <t>Work on a side project</t>
  </si>
  <si>
    <t>Gratitude log</t>
  </si>
  <si>
    <t>Self-Review</t>
  </si>
  <si>
    <t>Limit social media time</t>
  </si>
  <si>
    <t>Connect with family / friends</t>
  </si>
  <si>
    <t>No sugar / junk food limit</t>
  </si>
  <si>
    <t>Creative hobby</t>
  </si>
  <si>
    <t>Listen to a podcast</t>
  </si>
  <si>
    <t>Practice coding / Excel / SQL / Tableau</t>
  </si>
  <si>
    <t>Practice writing / Blogging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</si>
</sst>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"/>
    <numFmt numFmtId="165" formatCode="d"/>
  </numFmts>
  <fonts count="15">
    <font>
      <sz val="10.0"/>
      <color rgb="FF000000"/>
      <name val="Arial"/>
      <scheme val="minor"/>
    </font>
    <font>
      <color theme="1"/>
      <name val="Calibri"/>
    </font>
    <font>
      <color rgb="FFFFFFFF"/>
      <name val="Calibri"/>
    </font>
    <font>
      <b/>
      <sz val="16.0"/>
      <color theme="1"/>
      <name val="Calibri"/>
    </font>
    <font/>
    <font>
      <b/>
      <sz val="12.0"/>
      <color theme="1"/>
      <name val="Calibri"/>
    </font>
    <font>
      <b/>
      <sz val="12.0"/>
      <color rgb="FFFFFFFF"/>
      <name val="Calibri"/>
    </font>
    <font>
      <sz val="12.0"/>
      <color theme="1"/>
      <name val="Calibri"/>
    </font>
    <font>
      <b/>
      <color theme="1"/>
      <name val="Calibri"/>
    </font>
    <font>
      <b/>
      <sz val="14.0"/>
      <color theme="1"/>
      <name val="Calibri"/>
    </font>
    <font>
      <b/>
      <sz val="15.0"/>
      <color theme="1"/>
      <name val="Calibri"/>
    </font>
    <font>
      <color theme="0"/>
      <name val="Calibri"/>
    </font>
    <font>
      <b/>
      <sz val="10.0"/>
      <color theme="1"/>
      <name val="Calibri"/>
    </font>
    <font>
      <sz val="10.0"/>
      <color theme="1"/>
      <name val="Calibri"/>
    </font>
    <font>
      <color rgb="FFFFFFFF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theme="4"/>
        <bgColor theme="4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76A5AF"/>
        <bgColor rgb="FF76A5AF"/>
      </patternFill>
    </fill>
    <fill>
      <patternFill patternType="solid">
        <fgColor theme="0"/>
        <bgColor theme="0"/>
      </patternFill>
    </fill>
  </fills>
  <borders count="8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F3F3F3"/>
      </right>
      <top style="medium">
        <color rgb="FF000000"/>
      </top>
    </border>
    <border>
      <left style="medium">
        <color rgb="FFF3F3F3"/>
      </left>
      <top style="medium">
        <color rgb="FF000000"/>
      </top>
    </border>
    <border>
      <right style="medium">
        <color rgb="FFF3F3F3"/>
      </right>
    </border>
    <border>
      <left style="medium">
        <color rgb="FFF3F3F3"/>
      </left>
      <bottom style="medium">
        <color rgb="FFF3F3F3"/>
      </bottom>
    </border>
    <border>
      <bottom style="medium">
        <color rgb="FFF3F3F3"/>
      </bottom>
    </border>
    <border>
      <right style="medium">
        <color rgb="FFF3F3F3"/>
      </right>
      <bottom style="medium">
        <color rgb="FFF3F3F3"/>
      </bottom>
    </border>
    <border>
      <right style="medium">
        <color rgb="FF000000"/>
      </right>
      <bottom style="medium">
        <color rgb="FFF3F3F3"/>
      </bottom>
    </border>
    <border>
      <left style="medium">
        <color rgb="FFF3F3F3"/>
      </left>
      <right style="medium">
        <color rgb="FFF3F3F3"/>
      </right>
      <top style="medium">
        <color rgb="FFF3F3F3"/>
      </top>
      <bottom style="medium">
        <color rgb="FFF3F3F3"/>
      </bottom>
    </border>
    <border>
      <left style="medium">
        <color rgb="FFF3F3F3"/>
      </left>
      <right style="medium">
        <color rgb="FF000000"/>
      </right>
      <top style="medium">
        <color rgb="FFF3F3F3"/>
      </top>
      <bottom style="medium">
        <color rgb="FFF3F3F3"/>
      </bottom>
    </border>
    <border>
      <left style="medium">
        <color rgb="FF000000"/>
      </left>
      <bottom style="medium">
        <color rgb="FFF3F3F3"/>
      </bottom>
    </border>
    <border>
      <left style="medium">
        <color rgb="FF000000"/>
      </left>
      <top style="medium">
        <color rgb="FFF3F3F3"/>
      </top>
    </border>
    <border>
      <top style="medium">
        <color rgb="FFF3F3F3"/>
      </top>
    </border>
    <border>
      <right style="medium">
        <color rgb="FFF3F3F3"/>
      </right>
      <top style="medium">
        <color rgb="FFF3F3F3"/>
      </top>
    </border>
    <border>
      <left style="medium">
        <color rgb="FFF3F3F3"/>
      </left>
      <top style="medium">
        <color rgb="FFF3F3F3"/>
      </top>
    </border>
    <border>
      <right style="medium">
        <color rgb="FF000000"/>
      </right>
      <top style="medium">
        <color rgb="FFF3F3F3"/>
      </top>
    </border>
    <border>
      <left style="medium">
        <color rgb="FF000000"/>
      </left>
      <top style="thin">
        <color rgb="FFEFEFEF"/>
      </top>
      <bottom style="medium">
        <color rgb="FFCCCCCC"/>
      </bottom>
    </border>
    <border>
      <top style="thin">
        <color rgb="FFEFEFEF"/>
      </top>
      <bottom style="medium">
        <color rgb="FFCCCCCC"/>
      </bottom>
    </border>
    <border>
      <right style="medium">
        <color rgb="FF000000"/>
      </right>
      <top style="thin">
        <color rgb="FFEFEFEF"/>
      </top>
      <bottom style="medium">
        <color rgb="FFCCCCCC"/>
      </bottom>
    </border>
    <border>
      <left style="medium">
        <color rgb="FFF3F3F3"/>
      </left>
    </border>
    <border>
      <left style="medium">
        <color rgb="FF000000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top style="medium">
        <color rgb="FFF3F3F3"/>
      </top>
      <bottom style="medium">
        <color rgb="FFF3F3F3"/>
      </bottom>
    </border>
    <border>
      <top style="medium">
        <color rgb="FFF3F3F3"/>
      </top>
      <bottom style="medium">
        <color rgb="FFF3F3F3"/>
      </bottom>
    </border>
    <border>
      <right style="medium">
        <color rgb="FFF3F3F3"/>
      </right>
      <top style="medium">
        <color rgb="FFF3F3F3"/>
      </top>
      <bottom style="medium">
        <color rgb="FFF3F3F3"/>
      </bottom>
    </border>
    <border>
      <left style="medium">
        <color rgb="FFF3F3F3"/>
      </left>
      <top style="medium">
        <color rgb="FFF3F3F3"/>
      </top>
      <bottom style="medium">
        <color rgb="FFF3F3F3"/>
      </bottom>
    </border>
    <border>
      <right style="medium">
        <color rgb="FF000000"/>
      </right>
      <top style="medium">
        <color rgb="FFF3F3F3"/>
      </top>
      <bottom style="medium">
        <color rgb="FFF3F3F3"/>
      </bottom>
    </border>
    <border>
      <right style="medium">
        <color rgb="FFF3F3F3"/>
      </right>
      <bottom style="medium">
        <color rgb="FF000000"/>
      </bottom>
    </border>
    <border>
      <left style="medium">
        <color rgb="FFF3F3F3"/>
      </left>
      <top style="medium">
        <color rgb="FFF3F3F3"/>
      </top>
      <bottom style="medium">
        <color rgb="FF000000"/>
      </bottom>
    </border>
    <border>
      <top style="medium">
        <color rgb="FFF3F3F3"/>
      </top>
      <bottom style="medium">
        <color rgb="FF000000"/>
      </bottom>
    </border>
    <border>
      <right style="medium">
        <color rgb="FFF3F3F3"/>
      </right>
      <top style="medium">
        <color rgb="FFF3F3F3"/>
      </top>
      <bottom style="medium">
        <color rgb="FF000000"/>
      </bottom>
    </border>
    <border>
      <right style="medium">
        <color rgb="FF000000"/>
      </right>
      <top style="medium">
        <color rgb="FFF3F3F3"/>
      </top>
      <bottom style="medium">
        <color rgb="FF000000"/>
      </bottom>
    </border>
    <border>
      <left style="medium">
        <color rgb="FF000000"/>
      </left>
      <top style="medium">
        <color rgb="FFCCCCCC"/>
      </top>
      <bottom style="medium">
        <color rgb="FF000000"/>
      </bottom>
    </border>
    <border>
      <top style="medium">
        <color rgb="FFCCCCCC"/>
      </top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right style="thin">
        <color rgb="FFF3F3F3"/>
      </right>
      <top style="medium">
        <color rgb="FF000000"/>
      </top>
    </border>
    <border>
      <left style="thin">
        <color rgb="FFF3F3F3"/>
      </left>
      <top style="medium">
        <color rgb="FF000000"/>
      </top>
    </border>
    <border>
      <left style="thin">
        <color rgb="FFF3F3F3"/>
      </left>
      <right style="medium">
        <color rgb="FF000000"/>
      </right>
      <top style="medium">
        <color rgb="FF000000"/>
      </top>
    </border>
    <border>
      <right style="thin">
        <color rgb="FFF3F3F3"/>
      </right>
    </border>
    <border>
      <left style="thin">
        <color rgb="FFF3F3F3"/>
      </left>
    </border>
    <border>
      <left style="thin">
        <color rgb="FFF3F3F3"/>
      </left>
      <bottom style="thin">
        <color rgb="FFF3F3F3"/>
      </bottom>
    </border>
    <border>
      <bottom style="thin">
        <color rgb="FFF3F3F3"/>
      </bottom>
    </border>
    <border>
      <right style="thin">
        <color rgb="FFF3F3F3"/>
      </right>
      <bottom style="thin">
        <color rgb="FFF3F3F3"/>
      </bottom>
    </border>
    <border>
      <left style="thin">
        <color rgb="FFF3F3F3"/>
      </left>
      <right style="medium">
        <color rgb="FF000000"/>
      </right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medium">
        <color rgb="FF000000"/>
      </right>
      <top style="thin">
        <color rgb="FFF3F3F3"/>
      </top>
      <bottom style="thin">
        <color rgb="FFF3F3F3"/>
      </bottom>
    </border>
    <border>
      <left style="medium">
        <color rgb="FF000000"/>
      </left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</border>
    <border>
      <left style="thin">
        <color rgb="FFF3F3F3"/>
      </left>
      <right style="medium">
        <color rgb="FF000000"/>
      </right>
      <top style="thin">
        <color rgb="FFF3F3F3"/>
      </top>
    </border>
    <border>
      <left style="medium">
        <color rgb="FF000000"/>
      </left>
      <top style="thin">
        <color rgb="FFF3F3F3"/>
      </top>
      <bottom style="thin">
        <color rgb="FFF3F3F3"/>
      </bottom>
    </border>
    <border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top style="thin">
        <color rgb="FFF3F3F3"/>
      </top>
      <bottom style="thin">
        <color rgb="FFF3F3F3"/>
      </bottom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</border>
    <border>
      <left style="medium">
        <color rgb="FFEFEFEF"/>
      </left>
      <right style="medium">
        <color rgb="FF000000"/>
      </right>
      <top style="medium">
        <color rgb="FFEFEFEF"/>
      </top>
      <bottom style="medium">
        <color rgb="FFEFEFEF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medium">
        <color rgb="FF000000"/>
      </right>
      <top style="thin">
        <color rgb="FFD9D9D9"/>
      </top>
      <bottom style="thin">
        <color rgb="FFD9D9D9"/>
      </bottom>
    </border>
    <border>
      <right style="medium">
        <color rgb="FFEFEFEF"/>
      </right>
      <top style="medium">
        <color rgb="FFEFEFEF"/>
      </top>
      <bottom style="medium">
        <color rgb="FFEFEFEF"/>
      </bottom>
    </border>
    <border>
      <right style="thin">
        <color rgb="FFF3F3F3"/>
      </right>
      <bottom style="medium">
        <color rgb="FF000000"/>
      </bottom>
    </border>
    <border>
      <left style="thin">
        <color rgb="FFF3F3F3"/>
      </left>
      <top style="thin">
        <color rgb="FFF3F3F3"/>
      </top>
      <bottom style="medium">
        <color rgb="FF000000"/>
      </bottom>
    </border>
    <border>
      <right style="thin">
        <color rgb="FFF3F3F3"/>
      </right>
      <top style="thin">
        <color rgb="FFF3F3F3"/>
      </top>
      <bottom style="medium">
        <color rgb="FF000000"/>
      </bottom>
    </border>
    <border>
      <right style="medium">
        <color rgb="FFEFEFEF"/>
      </right>
      <top style="medium">
        <color rgb="FFEFEFEF"/>
      </top>
      <bottom style="medium">
        <color rgb="FF000000"/>
      </bottom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000000"/>
      </bottom>
    </border>
    <border>
      <left style="medium">
        <color rgb="FFEFEFEF"/>
      </left>
      <right style="medium">
        <color rgb="FF000000"/>
      </right>
      <top style="medium">
        <color rgb="FFEFEFEF"/>
      </top>
      <bottom style="medium">
        <color rgb="FF000000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top style="thin">
        <color rgb="FFD9D9D9"/>
      </top>
      <bottom style="medium">
        <color rgb="FF000000"/>
      </bottom>
    </border>
    <border>
      <top style="thin">
        <color rgb="FFD9D9D9"/>
      </top>
      <bottom style="medium">
        <color rgb="FF000000"/>
      </bottom>
    </border>
    <border>
      <right style="medium">
        <color rgb="FF000000"/>
      </right>
      <top style="thin">
        <color rgb="FFD9D9D9"/>
      </top>
      <bottom style="medium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0" fillId="2" fontId="5" numFmtId="0" xfId="0" applyAlignment="1" applyFont="1">
      <alignment horizontal="center" readingOrder="0" vertical="center"/>
    </xf>
    <xf borderId="1" fillId="4" fontId="5" numFmtId="0" xfId="0" applyAlignment="1" applyBorder="1" applyFill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right" readingOrder="0" vertical="center"/>
    </xf>
    <xf borderId="4" fillId="0" fontId="4" numFmtId="0" xfId="0" applyBorder="1" applyFont="1"/>
    <xf borderId="5" fillId="0" fontId="4" numFmtId="0" xfId="0" applyBorder="1" applyFont="1"/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0" fillId="0" fontId="5" numFmtId="0" xfId="0" applyAlignment="1" applyFont="1">
      <alignment horizontal="center" readingOrder="0" vertical="center"/>
    </xf>
    <xf borderId="4" fillId="3" fontId="7" numFmtId="0" xfId="0" applyAlignment="1" applyBorder="1" applyFont="1">
      <alignment horizontal="center" vertic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4" fillId="2" fontId="5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center" readingOrder="0" vertical="center"/>
    </xf>
    <xf borderId="1" fillId="5" fontId="8" numFmtId="0" xfId="0" applyAlignment="1" applyBorder="1" applyFill="1" applyFont="1">
      <alignment horizontal="center" readingOrder="0" vertical="center"/>
    </xf>
    <xf borderId="4" fillId="6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9" fillId="6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 readingOrder="0" vertical="center"/>
    </xf>
    <xf borderId="10" fillId="2" fontId="5" numFmtId="0" xfId="0" applyAlignment="1" applyBorder="1" applyFont="1">
      <alignment horizontal="center" readingOrder="0" vertical="center"/>
    </xf>
    <xf borderId="11" fillId="2" fontId="5" numFmtId="0" xfId="0" applyAlignment="1" applyBorder="1" applyFont="1">
      <alignment horizontal="center" readingOrder="0" vertical="center"/>
    </xf>
    <xf borderId="0" fillId="2" fontId="2" numFmtId="9" xfId="0" applyAlignment="1" applyFont="1" applyNumberFormat="1">
      <alignment horizontal="center" vertical="center"/>
    </xf>
    <xf borderId="0" fillId="0" fontId="2" numFmtId="0" xfId="0" applyAlignment="1" applyFont="1">
      <alignment readingOrder="0" vertical="bottom"/>
    </xf>
    <xf borderId="1" fillId="7" fontId="9" numFmtId="0" xfId="0" applyAlignment="1" applyBorder="1" applyFill="1" applyFont="1">
      <alignment horizontal="center" readingOrder="0" vertical="center"/>
    </xf>
    <xf borderId="12" fillId="0" fontId="4" numFmtId="0" xfId="0" applyBorder="1" applyFont="1"/>
    <xf borderId="13" fillId="8" fontId="8" numFmtId="0" xfId="0" applyAlignment="1" applyBorder="1" applyFill="1" applyFont="1">
      <alignment horizontal="center" readingOrder="0" vertical="center"/>
    </xf>
    <xf borderId="13" fillId="9" fontId="8" numFmtId="0" xfId="0" applyAlignment="1" applyBorder="1" applyFill="1" applyFont="1">
      <alignment horizontal="center" readingOrder="0" vertical="center"/>
    </xf>
    <xf borderId="13" fillId="10" fontId="8" numFmtId="0" xfId="0" applyAlignment="1" applyBorder="1" applyFill="1" applyFont="1">
      <alignment horizontal="center" readingOrder="0" vertical="center"/>
    </xf>
    <xf borderId="13" fillId="11" fontId="8" numFmtId="0" xfId="0" applyAlignment="1" applyBorder="1" applyFill="1" applyFont="1">
      <alignment horizontal="center" readingOrder="0" vertical="center"/>
    </xf>
    <xf borderId="13" fillId="12" fontId="8" numFmtId="0" xfId="0" applyAlignment="1" applyBorder="1" applyFill="1" applyFont="1">
      <alignment horizontal="center" readingOrder="0" vertical="center"/>
    </xf>
    <xf borderId="1" fillId="4" fontId="10" numFmtId="0" xfId="0" applyAlignment="1" applyBorder="1" applyFont="1">
      <alignment horizontal="center" readingOrder="0" vertical="center"/>
    </xf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6" fontId="1" numFmtId="164" xfId="0" applyAlignment="1" applyBorder="1" applyFont="1" applyNumberFormat="1">
      <alignment horizontal="center" readingOrder="0" vertical="center"/>
    </xf>
    <xf borderId="20" fillId="6" fontId="1" numFmtId="164" xfId="0" applyAlignment="1" applyBorder="1" applyFont="1" applyNumberFormat="1">
      <alignment horizontal="center" readingOrder="0" vertical="center"/>
    </xf>
    <xf borderId="21" fillId="0" fontId="4" numFmtId="0" xfId="0" applyBorder="1" applyFont="1"/>
    <xf borderId="19" fillId="6" fontId="1" numFmtId="165" xfId="0" applyAlignment="1" applyBorder="1" applyFont="1" applyNumberFormat="1">
      <alignment horizontal="center" readingOrder="0" vertical="center"/>
    </xf>
    <xf borderId="20" fillId="6" fontId="1" numFmtId="165" xfId="0" applyAlignment="1" applyBorder="1" applyFont="1" applyNumberFormat="1">
      <alignment horizontal="center" readingOrder="0" vertical="center"/>
    </xf>
    <xf borderId="22" fillId="2" fontId="8" numFmtId="0" xfId="0" applyAlignment="1" applyBorder="1" applyFont="1">
      <alignment horizontal="center" readingOrder="0" vertical="center"/>
    </xf>
    <xf borderId="23" fillId="0" fontId="4" numFmtId="0" xfId="0" applyBorder="1" applyFont="1"/>
    <xf borderId="24" fillId="0" fontId="4" numFmtId="0" xfId="0" applyBorder="1" applyFont="1"/>
    <xf borderId="25" fillId="2" fontId="8" numFmtId="0" xfId="0" applyAlignment="1" applyBorder="1" applyFont="1">
      <alignment horizontal="center" readingOrder="0" vertical="center"/>
    </xf>
    <xf borderId="26" fillId="0" fontId="4" numFmtId="0" xfId="0" applyBorder="1" applyFont="1"/>
    <xf borderId="0" fillId="0" fontId="8" numFmtId="0" xfId="0" applyAlignment="1" applyFont="1">
      <alignment horizontal="center" readingOrder="0" vertical="center"/>
    </xf>
    <xf borderId="27" fillId="7" fontId="1" numFmtId="0" xfId="0" applyAlignment="1" applyBorder="1" applyFont="1">
      <alignment horizontal="center" vertical="center"/>
    </xf>
    <xf borderId="28" fillId="0" fontId="4" numFmtId="0" xfId="0" applyBorder="1" applyFont="1"/>
    <xf borderId="29" fillId="0" fontId="4" numFmtId="0" xfId="0" applyBorder="1" applyFont="1"/>
    <xf borderId="4" fillId="2" fontId="8" numFmtId="0" xfId="0" applyAlignment="1" applyBorder="1" applyFont="1">
      <alignment horizontal="center" readingOrder="0" vertical="center"/>
    </xf>
    <xf borderId="30" fillId="0" fontId="4" numFmtId="0" xfId="0" applyBorder="1" applyFont="1"/>
    <xf borderId="31" fillId="7" fontId="1" numFmtId="0" xfId="0" applyAlignment="1" applyBorder="1" applyFont="1">
      <alignment horizontal="center" readingOrder="0" vertical="center"/>
    </xf>
    <xf borderId="32" fillId="7" fontId="1" numFmtId="0" xfId="0" applyAlignment="1" applyBorder="1" applyFont="1">
      <alignment horizontal="center" readingOrder="0" vertical="center"/>
    </xf>
    <xf borderId="32" fillId="0" fontId="4" numFmtId="0" xfId="0" applyBorder="1" applyFont="1"/>
    <xf borderId="33" fillId="0" fontId="4" numFmtId="0" xfId="0" applyBorder="1" applyFont="1"/>
    <xf borderId="4" fillId="2" fontId="8" numFmtId="9" xfId="0" applyAlignment="1" applyBorder="1" applyFont="1" applyNumberFormat="1">
      <alignment horizontal="center" readingOrder="0" vertical="center"/>
    </xf>
    <xf borderId="21" fillId="2" fontId="8" numFmtId="0" xfId="0" applyAlignment="1" applyBorder="1" applyFont="1">
      <alignment horizontal="center" readingOrder="0" vertical="center"/>
    </xf>
    <xf borderId="34" fillId="2" fontId="8" numFmtId="0" xfId="0" applyAlignment="1" applyBorder="1" applyFont="1">
      <alignment horizontal="center" readingOrder="0" vertical="center"/>
    </xf>
    <xf borderId="35" fillId="0" fontId="4" numFmtId="0" xfId="0" applyBorder="1" applyFont="1"/>
    <xf borderId="36" fillId="0" fontId="4" numFmtId="0" xfId="0" applyBorder="1" applyFont="1"/>
    <xf borderId="19" fillId="2" fontId="8" numFmtId="0" xfId="0" applyAlignment="1" applyBorder="1" applyFont="1">
      <alignment horizontal="center" readingOrder="0" vertical="center"/>
    </xf>
    <xf borderId="20" fillId="2" fontId="8" numFmtId="0" xfId="0" applyAlignment="1" applyBorder="1" applyFont="1">
      <alignment horizontal="center" readingOrder="0" vertical="center"/>
    </xf>
    <xf borderId="37" fillId="2" fontId="1" numFmtId="0" xfId="0" applyAlignment="1" applyBorder="1" applyFont="1">
      <alignment horizontal="center" readingOrder="0" vertical="center"/>
    </xf>
    <xf borderId="38" fillId="0" fontId="4" numFmtId="0" xfId="0" applyBorder="1" applyFont="1"/>
    <xf borderId="37" fillId="2" fontId="1" numFmtId="9" xfId="0" applyAlignment="1" applyBorder="1" applyFont="1" applyNumberFormat="1">
      <alignment horizontal="center" readingOrder="0" vertical="center"/>
    </xf>
    <xf borderId="39" fillId="0" fontId="4" numFmtId="0" xfId="0" applyBorder="1" applyFont="1"/>
    <xf borderId="40" fillId="2" fontId="1" numFmtId="0" xfId="0" applyAlignment="1" applyBorder="1" applyFont="1">
      <alignment horizontal="center" readingOrder="0" vertical="center"/>
    </xf>
    <xf borderId="41" fillId="0" fontId="4" numFmtId="0" xfId="0" applyBorder="1" applyFont="1"/>
    <xf borderId="42" fillId="0" fontId="4" numFmtId="0" xfId="0" applyBorder="1" applyFont="1"/>
    <xf borderId="43" fillId="0" fontId="4" numFmtId="0" xfId="0" applyBorder="1" applyFont="1"/>
    <xf borderId="44" fillId="7" fontId="1" numFmtId="0" xfId="0" applyAlignment="1" applyBorder="1" applyFont="1">
      <alignment horizontal="center" vertical="center"/>
    </xf>
    <xf borderId="45" fillId="0" fontId="4" numFmtId="0" xfId="0" applyBorder="1" applyFont="1"/>
    <xf borderId="46" fillId="0" fontId="4" numFmtId="0" xfId="0" applyBorder="1" applyFont="1"/>
    <xf borderId="0" fillId="0" fontId="11" numFmtId="0" xfId="0" applyAlignment="1" applyFont="1">
      <alignment horizontal="center" vertical="center"/>
    </xf>
    <xf borderId="1" fillId="5" fontId="3" numFmtId="0" xfId="0" applyAlignment="1" applyBorder="1" applyFont="1">
      <alignment horizontal="center" readingOrder="0" vertical="center"/>
    </xf>
    <xf borderId="47" fillId="0" fontId="4" numFmtId="0" xfId="0" applyBorder="1" applyFont="1"/>
    <xf borderId="48" fillId="5" fontId="12" numFmtId="0" xfId="0" applyAlignment="1" applyBorder="1" applyFont="1">
      <alignment horizontal="center" readingOrder="0" vertical="center"/>
    </xf>
    <xf borderId="48" fillId="8" fontId="8" numFmtId="0" xfId="0" applyAlignment="1" applyBorder="1" applyFont="1">
      <alignment horizontal="center" readingOrder="0" vertical="center"/>
    </xf>
    <xf borderId="48" fillId="9" fontId="8" numFmtId="0" xfId="0" applyAlignment="1" applyBorder="1" applyFont="1">
      <alignment horizontal="center" readingOrder="0" vertical="center"/>
    </xf>
    <xf borderId="48" fillId="10" fontId="8" numFmtId="0" xfId="0" applyAlignment="1" applyBorder="1" applyFont="1">
      <alignment horizontal="center" readingOrder="0" vertical="center"/>
    </xf>
    <xf borderId="48" fillId="11" fontId="8" numFmtId="0" xfId="0" applyAlignment="1" applyBorder="1" applyFont="1">
      <alignment horizontal="center" readingOrder="0" vertical="center"/>
    </xf>
    <xf borderId="49" fillId="12" fontId="8" numFmtId="0" xfId="0" applyAlignment="1" applyBorder="1" applyFont="1">
      <alignment horizontal="center" readingOrder="0" vertical="center"/>
    </xf>
    <xf borderId="0" fillId="13" fontId="8" numFmtId="0" xfId="0" applyAlignment="1" applyFill="1" applyFont="1">
      <alignment horizontal="center" readingOrder="0" vertical="center"/>
    </xf>
    <xf borderId="1" fillId="3" fontId="8" numFmtId="0" xfId="0" applyAlignment="1" applyBorder="1" applyFont="1">
      <alignment horizontal="center" readingOrder="0" textRotation="90" vertical="center"/>
    </xf>
    <xf borderId="2" fillId="3" fontId="8" numFmtId="0" xfId="0" applyAlignment="1" applyBorder="1" applyFont="1">
      <alignment horizontal="center" readingOrder="0" textRotation="90" vertical="center"/>
    </xf>
    <xf borderId="2" fillId="3" fontId="8" numFmtId="10" xfId="0" applyAlignment="1" applyBorder="1" applyFont="1" applyNumberFormat="1">
      <alignment horizontal="center" readingOrder="0" textRotation="90" vertical="center"/>
    </xf>
    <xf borderId="2" fillId="3" fontId="8" numFmtId="0" xfId="0" applyAlignment="1" applyBorder="1" applyFont="1">
      <alignment horizontal="center" readingOrder="0" textRotation="0" vertical="top"/>
    </xf>
    <xf borderId="50" fillId="0" fontId="4" numFmtId="0" xfId="0" applyBorder="1" applyFont="1"/>
    <xf borderId="51" fillId="0" fontId="4" numFmtId="0" xfId="0" applyBorder="1" applyFont="1"/>
    <xf borderId="52" fillId="0" fontId="4" numFmtId="0" xfId="0" applyBorder="1" applyFont="1"/>
    <xf borderId="53" fillId="0" fontId="4" numFmtId="0" xfId="0" applyBorder="1" applyFont="1"/>
    <xf borderId="54" fillId="0" fontId="4" numFmtId="0" xfId="0" applyBorder="1" applyFont="1"/>
    <xf borderId="55" fillId="0" fontId="4" numFmtId="0" xfId="0" applyBorder="1" applyFont="1"/>
    <xf borderId="0" fillId="3" fontId="8" numFmtId="0" xfId="0" applyAlignment="1" applyFont="1">
      <alignment horizontal="center" readingOrder="0" textRotation="0" vertical="top"/>
    </xf>
    <xf borderId="56" fillId="6" fontId="1" numFmtId="164" xfId="0" applyAlignment="1" applyBorder="1" applyFont="1" applyNumberFormat="1">
      <alignment horizontal="center" readingOrder="0" vertical="center"/>
    </xf>
    <xf borderId="57" fillId="6" fontId="1" numFmtId="164" xfId="0" applyAlignment="1" applyBorder="1" applyFont="1" applyNumberFormat="1">
      <alignment horizontal="center" readingOrder="0" vertical="center"/>
    </xf>
    <xf borderId="58" fillId="0" fontId="4" numFmtId="0" xfId="0" applyBorder="1" applyFont="1"/>
    <xf borderId="59" fillId="6" fontId="1" numFmtId="165" xfId="0" applyAlignment="1" applyBorder="1" applyFont="1" applyNumberFormat="1">
      <alignment horizontal="center" readingOrder="0" vertical="center"/>
    </xf>
    <xf borderId="60" fillId="6" fontId="1" numFmtId="165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61" fillId="13" fontId="13" numFmtId="0" xfId="0" applyAlignment="1" applyBorder="1" applyFont="1">
      <alignment horizontal="center" readingOrder="0" vertical="center"/>
    </xf>
    <xf borderId="62" fillId="0" fontId="4" numFmtId="0" xfId="0" applyBorder="1" applyFont="1"/>
    <xf borderId="63" fillId="0" fontId="4" numFmtId="0" xfId="0" applyBorder="1" applyFont="1"/>
    <xf borderId="64" fillId="13" fontId="13" numFmtId="0" xfId="0" applyAlignment="1" applyBorder="1" applyFont="1">
      <alignment horizontal="center" readingOrder="0" vertical="center"/>
    </xf>
    <xf borderId="65" fillId="2" fontId="1" numFmtId="0" xfId="0" applyAlignment="1" applyBorder="1" applyFont="1">
      <alignment horizontal="center" readingOrder="0" vertical="center"/>
    </xf>
    <xf borderId="65" fillId="2" fontId="1" numFmtId="0" xfId="0" applyAlignment="1" applyBorder="1" applyFont="1">
      <alignment horizontal="center" vertical="center"/>
    </xf>
    <xf borderId="66" fillId="2" fontId="1" numFmtId="0" xfId="0" applyAlignment="1" applyBorder="1" applyFont="1">
      <alignment horizontal="center" readingOrder="0" vertical="center"/>
    </xf>
    <xf borderId="67" fillId="7" fontId="1" numFmtId="0" xfId="0" applyAlignment="1" applyBorder="1" applyFont="1">
      <alignment horizontal="center" readingOrder="0" vertical="center"/>
    </xf>
    <xf borderId="68" fillId="7" fontId="1" numFmtId="0" xfId="0" applyAlignment="1" applyBorder="1" applyFont="1">
      <alignment horizontal="center" vertical="center"/>
    </xf>
    <xf borderId="68" fillId="7" fontId="1" numFmtId="9" xfId="0" applyAlignment="1" applyBorder="1" applyFont="1" applyNumberFormat="1">
      <alignment horizontal="center" vertical="center"/>
    </xf>
    <xf borderId="69" fillId="7" fontId="1" numFmtId="0" xfId="0" applyAlignment="1" applyBorder="1" applyFont="1">
      <alignment horizontal="center" vertical="center"/>
    </xf>
    <xf borderId="70" fillId="0" fontId="4" numFmtId="0" xfId="0" applyBorder="1" applyFont="1"/>
    <xf borderId="71" fillId="0" fontId="4" numFmtId="0" xfId="0" applyBorder="1" applyFont="1"/>
    <xf borderId="0" fillId="0" fontId="2" numFmtId="9" xfId="0" applyAlignment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72" fillId="2" fontId="1" numFmtId="0" xfId="0" applyAlignment="1" applyBorder="1" applyFont="1">
      <alignment horizontal="center" readingOrder="0" vertical="center"/>
    </xf>
    <xf borderId="66" fillId="2" fontId="1" numFmtId="0" xfId="0" applyAlignment="1" applyBorder="1" applyFont="1">
      <alignment horizontal="center" vertical="center"/>
    </xf>
    <xf borderId="0" fillId="0" fontId="14" numFmtId="0" xfId="0" applyAlignment="1" applyFont="1">
      <alignment horizontal="left"/>
    </xf>
    <xf borderId="61" fillId="13" fontId="13" numFmtId="0" xfId="0" applyAlignment="1" applyBorder="1" applyFont="1">
      <alignment horizontal="center" readingOrder="0" vertical="center"/>
    </xf>
    <xf borderId="72" fillId="2" fontId="1" numFmtId="0" xfId="0" applyAlignment="1" applyBorder="1" applyFont="1">
      <alignment horizontal="center" vertical="center"/>
    </xf>
    <xf borderId="58" fillId="0" fontId="13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73" fillId="0" fontId="4" numFmtId="0" xfId="0" applyBorder="1" applyFont="1"/>
    <xf borderId="74" fillId="13" fontId="13" numFmtId="0" xfId="0" applyAlignment="1" applyBorder="1" applyFont="1">
      <alignment horizontal="center" readingOrder="0" vertical="center"/>
    </xf>
    <xf borderId="75" fillId="0" fontId="4" numFmtId="0" xfId="0" applyBorder="1" applyFont="1"/>
    <xf borderId="76" fillId="2" fontId="1" numFmtId="0" xfId="0" applyAlignment="1" applyBorder="1" applyFont="1">
      <alignment horizontal="center" vertical="center"/>
    </xf>
    <xf borderId="77" fillId="2" fontId="1" numFmtId="0" xfId="0" applyAlignment="1" applyBorder="1" applyFont="1">
      <alignment horizontal="center" vertical="center"/>
    </xf>
    <xf borderId="77" fillId="2" fontId="1" numFmtId="0" xfId="0" applyAlignment="1" applyBorder="1" applyFont="1">
      <alignment horizontal="center" readingOrder="0" vertical="center"/>
    </xf>
    <xf borderId="78" fillId="2" fontId="1" numFmtId="0" xfId="0" applyAlignment="1" applyBorder="1" applyFont="1">
      <alignment horizontal="center" vertical="center"/>
    </xf>
    <xf borderId="79" fillId="7" fontId="1" numFmtId="0" xfId="0" applyAlignment="1" applyBorder="1" applyFont="1">
      <alignment horizontal="center" readingOrder="0" vertical="center"/>
    </xf>
    <xf borderId="80" fillId="7" fontId="1" numFmtId="0" xfId="0" applyAlignment="1" applyBorder="1" applyFont="1">
      <alignment horizontal="center" vertical="center"/>
    </xf>
    <xf borderId="80" fillId="7" fontId="1" numFmtId="9" xfId="0" applyAlignment="1" applyBorder="1" applyFont="1" applyNumberFormat="1">
      <alignment horizontal="center" vertical="center"/>
    </xf>
    <xf borderId="81" fillId="7" fontId="1" numFmtId="0" xfId="0" applyAlignment="1" applyBorder="1" applyFont="1">
      <alignment horizontal="center" vertical="center"/>
    </xf>
    <xf borderId="82" fillId="0" fontId="4" numFmtId="0" xfId="0" applyBorder="1" applyFont="1"/>
    <xf borderId="8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F4CCCC">
                <a:alpha val="30000"/>
              </a:srgbClr>
            </a:solidFill>
            <a:ln cmpd="sng">
              <a:solidFill>
                <a:srgbClr val="F4CCCC"/>
              </a:solidFill>
            </a:ln>
          </c:spPr>
          <c:val>
            <c:numRef>
              <c:f>Sheet1!$J$12:$AM$12</c:f>
              <c:numCache/>
            </c:numRef>
          </c:val>
        </c:ser>
        <c:axId val="336923538"/>
        <c:axId val="1688257323"/>
      </c:areaChart>
      <c:catAx>
        <c:axId val="336923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8257323"/>
      </c:catAx>
      <c:valAx>
        <c:axId val="1688257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69235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3F3F3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Sheet1!$BE$2:$BE$3</c:f>
            </c:strRef>
          </c:cat>
          <c:val>
            <c:numRef>
              <c:f>Sheet1!$BF$2:$BF$3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1</xdr:row>
      <xdr:rowOff>9525</xdr:rowOff>
    </xdr:from>
    <xdr:ext cx="9372600" cy="1971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41</xdr:col>
      <xdr:colOff>9525</xdr:colOff>
      <xdr:row>5</xdr:row>
      <xdr:rowOff>9525</xdr:rowOff>
    </xdr:from>
    <xdr:ext cx="2657475" cy="11620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4CCCC"/>
      </a:accent1>
      <a:accent2>
        <a:srgbClr val="EA9999"/>
      </a:accent2>
      <a:accent3>
        <a:srgbClr val="9FC5E8"/>
      </a:accent3>
      <a:accent4>
        <a:srgbClr val="D9EAD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38" width="4.13"/>
    <col customWidth="1" min="39" max="39" width="6.38"/>
    <col customWidth="1" min="40" max="40" width="4.13"/>
    <col customWidth="1" min="41" max="51" width="4.5"/>
    <col customWidth="1" min="52" max="100" width="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3"/>
      <c r="AZ1" s="4"/>
      <c r="BA1" s="5" t="s">
        <v>0</v>
      </c>
      <c r="BB1" s="6">
        <v>1.0</v>
      </c>
      <c r="BC1" s="6"/>
      <c r="BD1" s="7"/>
      <c r="BE1" s="7"/>
      <c r="BF1" s="7"/>
      <c r="BG1" s="7"/>
      <c r="BH1" s="7"/>
      <c r="BI1" s="7"/>
      <c r="BJ1" s="7"/>
      <c r="BK1" s="7"/>
      <c r="BL1" s="7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s="1"/>
      <c r="B2" s="8" t="s">
        <v>1</v>
      </c>
      <c r="C2" s="9"/>
      <c r="D2" s="9"/>
      <c r="E2" s="9"/>
      <c r="F2" s="9"/>
      <c r="G2" s="9"/>
      <c r="H2" s="10"/>
      <c r="I2" s="1"/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3"/>
      <c r="AN2" s="2"/>
      <c r="AO2" s="14"/>
      <c r="AP2" s="15" t="s">
        <v>2</v>
      </c>
      <c r="AQ2" s="9"/>
      <c r="AR2" s="9"/>
      <c r="AS2" s="9"/>
      <c r="AT2" s="9"/>
      <c r="AU2" s="9"/>
      <c r="AV2" s="9"/>
      <c r="AW2" s="10"/>
      <c r="AX2" s="16"/>
      <c r="AY2" s="16"/>
      <c r="AZ2" s="4"/>
      <c r="BA2" s="5" t="s">
        <v>3</v>
      </c>
      <c r="BB2" s="6">
        <v>2.0</v>
      </c>
      <c r="BC2" s="6"/>
      <c r="BD2" s="17"/>
      <c r="BE2" s="18" t="s">
        <v>4</v>
      </c>
      <c r="BF2" s="17">
        <f>SUM(AP38:AP62)</f>
        <v>114</v>
      </c>
      <c r="BG2" s="7"/>
      <c r="BH2" s="7"/>
      <c r="BI2" s="7"/>
      <c r="BJ2" s="7"/>
      <c r="BK2" s="7"/>
      <c r="BL2" s="7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>
      <c r="A3" s="1"/>
      <c r="B3" s="19"/>
      <c r="H3" s="20"/>
      <c r="I3" s="1"/>
      <c r="J3" s="2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22"/>
      <c r="AN3" s="2"/>
      <c r="AO3" s="14"/>
      <c r="AP3" s="19"/>
      <c r="AW3" s="20"/>
      <c r="AX3" s="16"/>
      <c r="AY3" s="16"/>
      <c r="AZ3" s="4"/>
      <c r="BA3" s="5" t="s">
        <v>5</v>
      </c>
      <c r="BB3" s="6">
        <v>3.0</v>
      </c>
      <c r="BC3" s="6"/>
      <c r="BD3" s="17"/>
      <c r="BE3" s="18" t="s">
        <v>6</v>
      </c>
      <c r="BF3" s="17">
        <f>SUM(AQ38:AQ62)</f>
        <v>458</v>
      </c>
      <c r="BG3" s="7"/>
      <c r="BH3" s="7"/>
      <c r="BI3" s="7"/>
      <c r="BJ3" s="7"/>
      <c r="BK3" s="7"/>
      <c r="BL3" s="7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>
      <c r="A4" s="1"/>
      <c r="B4" s="23"/>
      <c r="C4" s="24"/>
      <c r="D4" s="24"/>
      <c r="E4" s="24"/>
      <c r="F4" s="24"/>
      <c r="G4" s="24"/>
      <c r="H4" s="25"/>
      <c r="I4" s="1"/>
      <c r="J4" s="2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22"/>
      <c r="AN4" s="1"/>
      <c r="AO4" s="26"/>
      <c r="AP4" s="19"/>
      <c r="AW4" s="20"/>
      <c r="AX4" s="16"/>
      <c r="AY4" s="16"/>
      <c r="AZ4" s="4"/>
      <c r="BA4" s="5" t="s">
        <v>7</v>
      </c>
      <c r="BB4" s="6">
        <v>4.0</v>
      </c>
      <c r="BC4" s="6"/>
      <c r="BD4" s="17"/>
      <c r="BE4" s="18" t="s">
        <v>8</v>
      </c>
      <c r="BF4" s="17">
        <f>SUM(I38:J62)</f>
        <v>572</v>
      </c>
      <c r="BG4" s="7"/>
      <c r="BH4" s="7"/>
      <c r="BI4" s="7"/>
      <c r="BJ4" s="7"/>
      <c r="BK4" s="7"/>
      <c r="BL4" s="7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>
      <c r="A5" s="1"/>
      <c r="B5" s="27" t="str">
        <f>CONCATENATE("- ",E11," -")</f>
        <v>- JANUARY -</v>
      </c>
      <c r="H5" s="20"/>
      <c r="I5" s="1"/>
      <c r="J5" s="2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22"/>
      <c r="AN5" s="1"/>
      <c r="AO5" s="26"/>
      <c r="AP5" s="19"/>
      <c r="AW5" s="20"/>
      <c r="AX5" s="16"/>
      <c r="AY5" s="16"/>
      <c r="AZ5" s="4"/>
      <c r="BA5" s="5" t="s">
        <v>9</v>
      </c>
      <c r="BB5" s="6">
        <v>5.0</v>
      </c>
      <c r="BC5" s="6"/>
      <c r="BD5" s="7"/>
      <c r="BE5" s="7"/>
      <c r="BF5" s="7"/>
      <c r="BG5" s="7"/>
      <c r="BH5" s="7"/>
      <c r="BI5" s="7"/>
      <c r="BJ5" s="7"/>
      <c r="BK5" s="7"/>
      <c r="BL5" s="7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>
      <c r="A6" s="1"/>
      <c r="B6" s="28"/>
      <c r="C6" s="29"/>
      <c r="D6" s="29"/>
      <c r="E6" s="29"/>
      <c r="F6" s="29"/>
      <c r="G6" s="29"/>
      <c r="H6" s="30"/>
      <c r="I6" s="1"/>
      <c r="J6" s="2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22"/>
      <c r="AN6" s="1"/>
      <c r="AO6" s="26"/>
      <c r="AP6" s="31"/>
      <c r="AQ6" s="14"/>
      <c r="AR6" s="14"/>
      <c r="AS6" s="14"/>
      <c r="AT6" s="14"/>
      <c r="AU6" s="14"/>
      <c r="AV6" s="14"/>
      <c r="AW6" s="32"/>
      <c r="AX6" s="16"/>
      <c r="AY6" s="16"/>
      <c r="AZ6" s="4"/>
      <c r="BA6" s="5" t="s">
        <v>10</v>
      </c>
      <c r="BB6" s="6">
        <v>6.0</v>
      </c>
      <c r="BC6" s="6"/>
      <c r="BD6" s="7"/>
      <c r="BE6" s="7"/>
      <c r="BF6" s="7"/>
      <c r="BG6" s="7"/>
      <c r="BH6" s="7"/>
      <c r="BI6" s="7"/>
      <c r="BJ6" s="7"/>
      <c r="BK6" s="7"/>
      <c r="BL6" s="7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>
      <c r="A7" s="1"/>
      <c r="B7" s="1"/>
      <c r="C7" s="1"/>
      <c r="D7" s="1"/>
      <c r="E7" s="1"/>
      <c r="F7" s="1"/>
      <c r="G7" s="1"/>
      <c r="H7" s="1"/>
      <c r="I7" s="1"/>
      <c r="J7" s="2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22"/>
      <c r="AN7" s="1"/>
      <c r="AO7" s="26"/>
      <c r="AP7" s="31"/>
      <c r="AQ7" s="14"/>
      <c r="AR7" s="14"/>
      <c r="AS7" s="14"/>
      <c r="AT7" s="14"/>
      <c r="AU7" s="14"/>
      <c r="AV7" s="14"/>
      <c r="AW7" s="32"/>
      <c r="AX7" s="16"/>
      <c r="AY7" s="16"/>
      <c r="AZ7" s="4"/>
      <c r="BA7" s="5" t="s">
        <v>11</v>
      </c>
      <c r="BB7" s="6">
        <v>7.0</v>
      </c>
      <c r="BC7" s="6"/>
      <c r="BD7" s="7"/>
      <c r="BE7" s="7"/>
      <c r="BF7" s="7"/>
      <c r="BG7" s="7"/>
      <c r="BH7" s="7"/>
      <c r="BI7" s="7"/>
      <c r="BJ7" s="7"/>
      <c r="BK7" s="7"/>
      <c r="BL7" s="7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>
      <c r="A8" s="1"/>
      <c r="B8" s="1"/>
      <c r="C8" s="1"/>
      <c r="D8" s="1"/>
      <c r="E8" s="1"/>
      <c r="F8" s="1"/>
      <c r="G8" s="1"/>
      <c r="H8" s="1"/>
      <c r="I8" s="1"/>
      <c r="J8" s="2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22"/>
      <c r="AN8" s="1"/>
      <c r="AO8" s="26"/>
      <c r="AP8" s="31"/>
      <c r="AQ8" s="14"/>
      <c r="AR8" s="14"/>
      <c r="AS8" s="14"/>
      <c r="AT8" s="14"/>
      <c r="AU8" s="14"/>
      <c r="AV8" s="14"/>
      <c r="AW8" s="32"/>
      <c r="AX8" s="16"/>
      <c r="AY8" s="16"/>
      <c r="AZ8" s="4"/>
      <c r="BA8" s="5" t="s">
        <v>12</v>
      </c>
      <c r="BB8" s="6">
        <v>8.0</v>
      </c>
      <c r="BC8" s="6"/>
      <c r="BD8" s="7"/>
      <c r="BE8" s="7"/>
      <c r="BF8" s="7"/>
      <c r="BG8" s="7"/>
      <c r="BH8" s="7"/>
      <c r="BI8" s="7"/>
      <c r="BJ8" s="7"/>
      <c r="BK8" s="7"/>
      <c r="BL8" s="7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>
      <c r="A9" s="1"/>
      <c r="B9" s="33" t="s">
        <v>13</v>
      </c>
      <c r="C9" s="9"/>
      <c r="D9" s="9"/>
      <c r="E9" s="9"/>
      <c r="F9" s="9"/>
      <c r="G9" s="9"/>
      <c r="H9" s="10"/>
      <c r="I9" s="1"/>
      <c r="J9" s="2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22"/>
      <c r="AN9" s="1"/>
      <c r="AO9" s="26"/>
      <c r="AP9" s="31"/>
      <c r="AQ9" s="14"/>
      <c r="AR9" s="14"/>
      <c r="AS9" s="14"/>
      <c r="AT9" s="14"/>
      <c r="AU9" s="14"/>
      <c r="AV9" s="14"/>
      <c r="AW9" s="32"/>
      <c r="AX9" s="16"/>
      <c r="AY9" s="16"/>
      <c r="AZ9" s="4"/>
      <c r="BA9" s="5" t="s">
        <v>14</v>
      </c>
      <c r="BB9" s="6">
        <v>9.0</v>
      </c>
      <c r="BC9" s="6"/>
      <c r="BD9" s="7"/>
      <c r="BE9" s="7"/>
      <c r="BF9" s="7"/>
      <c r="BG9" s="7"/>
      <c r="BH9" s="7"/>
      <c r="BI9" s="7"/>
      <c r="BJ9" s="7"/>
      <c r="BK9" s="7"/>
      <c r="BL9" s="7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>
      <c r="A10" s="1"/>
      <c r="B10" s="34" t="s">
        <v>15</v>
      </c>
      <c r="E10" s="35">
        <v>2026.0</v>
      </c>
      <c r="H10" s="20"/>
      <c r="I10" s="1"/>
      <c r="J10" s="2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22"/>
      <c r="AN10" s="1"/>
      <c r="AO10" s="26"/>
      <c r="AP10" s="31"/>
      <c r="AQ10" s="14"/>
      <c r="AR10" s="14"/>
      <c r="AS10" s="14"/>
      <c r="AT10" s="14"/>
      <c r="AU10" s="14"/>
      <c r="AV10" s="14"/>
      <c r="AW10" s="32"/>
      <c r="AX10" s="16"/>
      <c r="AY10" s="16"/>
      <c r="AZ10" s="4"/>
      <c r="BA10" s="5" t="s">
        <v>16</v>
      </c>
      <c r="BB10" s="6">
        <v>10.0</v>
      </c>
      <c r="BC10" s="6"/>
      <c r="BD10" s="7"/>
      <c r="BE10" s="7"/>
      <c r="BF10" s="7"/>
      <c r="BG10" s="7"/>
      <c r="BH10" s="7"/>
      <c r="BI10" s="7"/>
      <c r="BJ10" s="7"/>
      <c r="BK10" s="7"/>
      <c r="BL10" s="7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>
      <c r="A11" s="1"/>
      <c r="B11" s="36" t="s">
        <v>17</v>
      </c>
      <c r="C11" s="29"/>
      <c r="D11" s="29"/>
      <c r="E11" s="37" t="s">
        <v>0</v>
      </c>
      <c r="F11" s="29"/>
      <c r="G11" s="29"/>
      <c r="H11" s="38"/>
      <c r="I11" s="1"/>
      <c r="J11" s="39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38"/>
      <c r="AN11" s="1"/>
      <c r="AO11" s="26"/>
      <c r="AP11" s="41"/>
      <c r="AQ11" s="42"/>
      <c r="AR11" s="42"/>
      <c r="AS11" s="42"/>
      <c r="AT11" s="42"/>
      <c r="AU11" s="42"/>
      <c r="AV11" s="42"/>
      <c r="AW11" s="43"/>
      <c r="AX11" s="16"/>
      <c r="AY11" s="16"/>
      <c r="AZ11" s="4"/>
      <c r="BA11" s="5" t="s">
        <v>18</v>
      </c>
      <c r="BB11" s="6">
        <v>11.0</v>
      </c>
      <c r="BC11" s="6"/>
      <c r="BD11" s="7"/>
      <c r="BE11" s="7"/>
      <c r="BF11" s="7"/>
      <c r="BG11" s="7"/>
      <c r="BH11" s="7"/>
      <c r="BI11" s="7"/>
      <c r="BJ11" s="7"/>
      <c r="BK11" s="7"/>
      <c r="BL11" s="7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>
      <c r="A12" s="1"/>
      <c r="B12" s="1"/>
      <c r="C12" s="1"/>
      <c r="D12" s="1"/>
      <c r="E12" s="1"/>
      <c r="F12" s="1"/>
      <c r="G12" s="1"/>
      <c r="H12" s="1"/>
      <c r="I12" s="7"/>
      <c r="J12" s="44">
        <f t="shared" ref="J12:AM12" si="1">IFERROR(I23/I25,0)</f>
        <v>2.125</v>
      </c>
      <c r="K12" s="44">
        <f t="shared" si="1"/>
        <v>1.5</v>
      </c>
      <c r="L12" s="44">
        <f t="shared" si="1"/>
        <v>1.5</v>
      </c>
      <c r="M12" s="44">
        <f t="shared" si="1"/>
        <v>1.777777778</v>
      </c>
      <c r="N12" s="44">
        <f t="shared" si="1"/>
        <v>1.5</v>
      </c>
      <c r="O12" s="44">
        <f t="shared" si="1"/>
        <v>1.5</v>
      </c>
      <c r="P12" s="44">
        <f t="shared" si="1"/>
        <v>2.571428571</v>
      </c>
      <c r="Q12" s="44">
        <f t="shared" si="1"/>
        <v>0.1363636364</v>
      </c>
      <c r="R12" s="44">
        <f t="shared" si="1"/>
        <v>0</v>
      </c>
      <c r="S12" s="44">
        <f t="shared" si="1"/>
        <v>0</v>
      </c>
      <c r="T12" s="44">
        <f t="shared" si="1"/>
        <v>0</v>
      </c>
      <c r="U12" s="44">
        <f t="shared" si="1"/>
        <v>0</v>
      </c>
      <c r="V12" s="44">
        <f t="shared" si="1"/>
        <v>0</v>
      </c>
      <c r="W12" s="44">
        <f t="shared" si="1"/>
        <v>0</v>
      </c>
      <c r="X12" s="44">
        <f t="shared" si="1"/>
        <v>0</v>
      </c>
      <c r="Y12" s="44">
        <f t="shared" si="1"/>
        <v>0</v>
      </c>
      <c r="Z12" s="44">
        <f t="shared" si="1"/>
        <v>0</v>
      </c>
      <c r="AA12" s="44">
        <f t="shared" si="1"/>
        <v>0</v>
      </c>
      <c r="AB12" s="44">
        <f t="shared" si="1"/>
        <v>0</v>
      </c>
      <c r="AC12" s="44">
        <f t="shared" si="1"/>
        <v>0</v>
      </c>
      <c r="AD12" s="44">
        <f t="shared" si="1"/>
        <v>0</v>
      </c>
      <c r="AE12" s="44">
        <f t="shared" si="1"/>
        <v>0</v>
      </c>
      <c r="AF12" s="44">
        <f t="shared" si="1"/>
        <v>0</v>
      </c>
      <c r="AG12" s="44">
        <f t="shared" si="1"/>
        <v>0</v>
      </c>
      <c r="AH12" s="44">
        <f t="shared" si="1"/>
        <v>0</v>
      </c>
      <c r="AI12" s="44">
        <f t="shared" si="1"/>
        <v>0</v>
      </c>
      <c r="AJ12" s="44">
        <f t="shared" si="1"/>
        <v>0</v>
      </c>
      <c r="AK12" s="44">
        <f t="shared" si="1"/>
        <v>0</v>
      </c>
      <c r="AL12" s="44">
        <f t="shared" si="1"/>
        <v>0</v>
      </c>
      <c r="AM12" s="44">
        <f t="shared" si="1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7"/>
      <c r="AY12" s="7"/>
      <c r="AZ12" s="4"/>
      <c r="BA12" s="45" t="s">
        <v>19</v>
      </c>
      <c r="BB12" s="6"/>
      <c r="BC12" s="6"/>
      <c r="BD12" s="7"/>
      <c r="BE12" s="7"/>
      <c r="BF12" s="7"/>
      <c r="BG12" s="7"/>
      <c r="BH12" s="7"/>
      <c r="BI12" s="7"/>
      <c r="BJ12" s="7"/>
      <c r="BK12" s="7"/>
      <c r="BL12" s="7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>
      <c r="A13" s="1"/>
      <c r="B13" s="46" t="s">
        <v>20</v>
      </c>
      <c r="C13" s="9"/>
      <c r="D13" s="9"/>
      <c r="E13" s="9"/>
      <c r="F13" s="9"/>
      <c r="G13" s="9"/>
      <c r="H13" s="47"/>
      <c r="I13" s="48" t="s">
        <v>21</v>
      </c>
      <c r="J13" s="9"/>
      <c r="K13" s="9"/>
      <c r="L13" s="9"/>
      <c r="M13" s="9"/>
      <c r="N13" s="9"/>
      <c r="O13" s="47"/>
      <c r="P13" s="49" t="s">
        <v>22</v>
      </c>
      <c r="Q13" s="9"/>
      <c r="R13" s="9"/>
      <c r="S13" s="9"/>
      <c r="T13" s="9"/>
      <c r="U13" s="9"/>
      <c r="V13" s="47"/>
      <c r="W13" s="50" t="s">
        <v>23</v>
      </c>
      <c r="X13" s="9"/>
      <c r="Y13" s="9"/>
      <c r="Z13" s="9"/>
      <c r="AA13" s="9"/>
      <c r="AB13" s="9"/>
      <c r="AC13" s="47"/>
      <c r="AD13" s="51" t="s">
        <v>24</v>
      </c>
      <c r="AE13" s="9"/>
      <c r="AF13" s="9"/>
      <c r="AG13" s="9"/>
      <c r="AH13" s="9"/>
      <c r="AI13" s="9"/>
      <c r="AJ13" s="47"/>
      <c r="AK13" s="52" t="s">
        <v>25</v>
      </c>
      <c r="AL13" s="9"/>
      <c r="AM13" s="10"/>
      <c r="AN13" s="1"/>
      <c r="AO13" s="1"/>
      <c r="AP13" s="53" t="s">
        <v>26</v>
      </c>
      <c r="AQ13" s="9"/>
      <c r="AR13" s="9"/>
      <c r="AS13" s="9"/>
      <c r="AT13" s="9"/>
      <c r="AU13" s="9"/>
      <c r="AV13" s="9"/>
      <c r="AW13" s="10"/>
      <c r="AX13" s="7"/>
      <c r="AY13" s="7"/>
      <c r="AZ13" s="4"/>
      <c r="BA13" s="5"/>
      <c r="BB13" s="6"/>
      <c r="BC13" s="6"/>
      <c r="BD13" s="7"/>
      <c r="BE13" s="7"/>
      <c r="BF13" s="7"/>
      <c r="BG13" s="7"/>
      <c r="BH13" s="7"/>
      <c r="BI13" s="7"/>
      <c r="BJ13" s="7"/>
      <c r="BK13" s="7"/>
      <c r="BL13" s="7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>
      <c r="A14" s="1"/>
      <c r="B14" s="19"/>
      <c r="H14" s="54"/>
      <c r="I14" s="55"/>
      <c r="J14" s="56"/>
      <c r="K14" s="56"/>
      <c r="L14" s="56"/>
      <c r="M14" s="56"/>
      <c r="N14" s="56"/>
      <c r="O14" s="57"/>
      <c r="P14" s="55"/>
      <c r="Q14" s="56"/>
      <c r="R14" s="56"/>
      <c r="S14" s="56"/>
      <c r="T14" s="56"/>
      <c r="U14" s="56"/>
      <c r="V14" s="57"/>
      <c r="W14" s="55"/>
      <c r="X14" s="56"/>
      <c r="Y14" s="56"/>
      <c r="Z14" s="56"/>
      <c r="AA14" s="56"/>
      <c r="AB14" s="56"/>
      <c r="AC14" s="57"/>
      <c r="AD14" s="55"/>
      <c r="AE14" s="56"/>
      <c r="AF14" s="56"/>
      <c r="AG14" s="56"/>
      <c r="AH14" s="56"/>
      <c r="AI14" s="56"/>
      <c r="AJ14" s="57"/>
      <c r="AK14" s="55"/>
      <c r="AL14" s="56"/>
      <c r="AM14" s="58"/>
      <c r="AN14" s="1"/>
      <c r="AO14" s="1"/>
      <c r="AP14" s="19"/>
      <c r="AW14" s="20"/>
      <c r="AX14" s="7"/>
      <c r="AY14" s="7"/>
      <c r="AZ14" s="4"/>
      <c r="BA14" s="5"/>
      <c r="BB14" s="6"/>
      <c r="BC14" s="6"/>
      <c r="BD14" s="7"/>
      <c r="BE14" s="7"/>
      <c r="BF14" s="7"/>
      <c r="BG14" s="7"/>
      <c r="BH14" s="7"/>
      <c r="BI14" s="7"/>
      <c r="BJ14" s="7"/>
      <c r="BK14" s="7"/>
      <c r="BL14" s="7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>
      <c r="A15" s="1"/>
      <c r="B15" s="19"/>
      <c r="H15" s="54"/>
      <c r="I15" s="59">
        <f t="shared" ref="I15:AM15" si="2">I16</f>
        <v>46023</v>
      </c>
      <c r="J15" s="59">
        <f t="shared" si="2"/>
        <v>46024</v>
      </c>
      <c r="K15" s="59">
        <f t="shared" si="2"/>
        <v>46025</v>
      </c>
      <c r="L15" s="59">
        <f t="shared" si="2"/>
        <v>46026</v>
      </c>
      <c r="M15" s="59">
        <f t="shared" si="2"/>
        <v>46027</v>
      </c>
      <c r="N15" s="59">
        <f t="shared" si="2"/>
        <v>46028</v>
      </c>
      <c r="O15" s="59">
        <f t="shared" si="2"/>
        <v>46029</v>
      </c>
      <c r="P15" s="59">
        <f t="shared" si="2"/>
        <v>46030</v>
      </c>
      <c r="Q15" s="59">
        <f t="shared" si="2"/>
        <v>46031</v>
      </c>
      <c r="R15" s="59">
        <f t="shared" si="2"/>
        <v>46032</v>
      </c>
      <c r="S15" s="59">
        <f t="shared" si="2"/>
        <v>46033</v>
      </c>
      <c r="T15" s="59">
        <f t="shared" si="2"/>
        <v>46034</v>
      </c>
      <c r="U15" s="59">
        <f t="shared" si="2"/>
        <v>46035</v>
      </c>
      <c r="V15" s="59">
        <f t="shared" si="2"/>
        <v>46036</v>
      </c>
      <c r="W15" s="59">
        <f t="shared" si="2"/>
        <v>46037</v>
      </c>
      <c r="X15" s="59">
        <f t="shared" si="2"/>
        <v>46038</v>
      </c>
      <c r="Y15" s="59">
        <f t="shared" si="2"/>
        <v>46039</v>
      </c>
      <c r="Z15" s="59">
        <f t="shared" si="2"/>
        <v>46040</v>
      </c>
      <c r="AA15" s="59">
        <f t="shared" si="2"/>
        <v>46041</v>
      </c>
      <c r="AB15" s="59">
        <f t="shared" si="2"/>
        <v>46042</v>
      </c>
      <c r="AC15" s="59">
        <f t="shared" si="2"/>
        <v>46043</v>
      </c>
      <c r="AD15" s="59">
        <f t="shared" si="2"/>
        <v>46044</v>
      </c>
      <c r="AE15" s="59">
        <f t="shared" si="2"/>
        <v>46045</v>
      </c>
      <c r="AF15" s="59">
        <f t="shared" si="2"/>
        <v>46046</v>
      </c>
      <c r="AG15" s="59">
        <f t="shared" si="2"/>
        <v>46047</v>
      </c>
      <c r="AH15" s="59">
        <f t="shared" si="2"/>
        <v>46048</v>
      </c>
      <c r="AI15" s="59">
        <f t="shared" si="2"/>
        <v>46049</v>
      </c>
      <c r="AJ15" s="59">
        <f t="shared" si="2"/>
        <v>46050</v>
      </c>
      <c r="AK15" s="59">
        <f t="shared" si="2"/>
        <v>46051</v>
      </c>
      <c r="AL15" s="59">
        <f t="shared" si="2"/>
        <v>46052</v>
      </c>
      <c r="AM15" s="60">
        <f t="shared" si="2"/>
        <v>46053</v>
      </c>
      <c r="AN15" s="1"/>
      <c r="AO15" s="1"/>
      <c r="AP15" s="19"/>
      <c r="AW15" s="20"/>
      <c r="AX15" s="7"/>
      <c r="AY15" s="7"/>
      <c r="AZ15" s="4"/>
      <c r="BA15" s="5"/>
      <c r="BB15" s="6"/>
      <c r="BC15" s="6"/>
      <c r="BD15" s="7"/>
      <c r="BE15" s="7"/>
      <c r="BF15" s="7"/>
      <c r="BG15" s="7"/>
      <c r="BH15" s="7"/>
      <c r="BI15" s="7"/>
      <c r="BJ15" s="7"/>
      <c r="BK15" s="7"/>
      <c r="BL15" s="7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>
      <c r="A16" s="1"/>
      <c r="B16" s="61"/>
      <c r="C16" s="56"/>
      <c r="D16" s="56"/>
      <c r="E16" s="56"/>
      <c r="F16" s="56"/>
      <c r="G16" s="56"/>
      <c r="H16" s="57"/>
      <c r="I16" s="62">
        <f>K37</f>
        <v>46023</v>
      </c>
      <c r="J16" s="62">
        <f t="shared" ref="J16:AM16" si="3">IF(MONTH(I16+1)=MONTH($K$37),I16+1,"")</f>
        <v>46024</v>
      </c>
      <c r="K16" s="62">
        <f t="shared" si="3"/>
        <v>46025</v>
      </c>
      <c r="L16" s="62">
        <f t="shared" si="3"/>
        <v>46026</v>
      </c>
      <c r="M16" s="62">
        <f t="shared" si="3"/>
        <v>46027</v>
      </c>
      <c r="N16" s="62">
        <f t="shared" si="3"/>
        <v>46028</v>
      </c>
      <c r="O16" s="62">
        <f t="shared" si="3"/>
        <v>46029</v>
      </c>
      <c r="P16" s="62">
        <f t="shared" si="3"/>
        <v>46030</v>
      </c>
      <c r="Q16" s="62">
        <f t="shared" si="3"/>
        <v>46031</v>
      </c>
      <c r="R16" s="62">
        <f t="shared" si="3"/>
        <v>46032</v>
      </c>
      <c r="S16" s="62">
        <f t="shared" si="3"/>
        <v>46033</v>
      </c>
      <c r="T16" s="62">
        <f t="shared" si="3"/>
        <v>46034</v>
      </c>
      <c r="U16" s="62">
        <f t="shared" si="3"/>
        <v>46035</v>
      </c>
      <c r="V16" s="62">
        <f t="shared" si="3"/>
        <v>46036</v>
      </c>
      <c r="W16" s="62">
        <f t="shared" si="3"/>
        <v>46037</v>
      </c>
      <c r="X16" s="62">
        <f t="shared" si="3"/>
        <v>46038</v>
      </c>
      <c r="Y16" s="62">
        <f t="shared" si="3"/>
        <v>46039</v>
      </c>
      <c r="Z16" s="62">
        <f t="shared" si="3"/>
        <v>46040</v>
      </c>
      <c r="AA16" s="62">
        <f t="shared" si="3"/>
        <v>46041</v>
      </c>
      <c r="AB16" s="62">
        <f t="shared" si="3"/>
        <v>46042</v>
      </c>
      <c r="AC16" s="62">
        <f t="shared" si="3"/>
        <v>46043</v>
      </c>
      <c r="AD16" s="62">
        <f t="shared" si="3"/>
        <v>46044</v>
      </c>
      <c r="AE16" s="62">
        <f t="shared" si="3"/>
        <v>46045</v>
      </c>
      <c r="AF16" s="62">
        <f t="shared" si="3"/>
        <v>46046</v>
      </c>
      <c r="AG16" s="62">
        <f t="shared" si="3"/>
        <v>46047</v>
      </c>
      <c r="AH16" s="62">
        <f t="shared" si="3"/>
        <v>46048</v>
      </c>
      <c r="AI16" s="62">
        <f t="shared" si="3"/>
        <v>46049</v>
      </c>
      <c r="AJ16" s="62">
        <f t="shared" si="3"/>
        <v>46050</v>
      </c>
      <c r="AK16" s="62">
        <f t="shared" si="3"/>
        <v>46051</v>
      </c>
      <c r="AL16" s="62">
        <f t="shared" si="3"/>
        <v>46052</v>
      </c>
      <c r="AM16" s="63">
        <f t="shared" si="3"/>
        <v>46053</v>
      </c>
      <c r="AN16" s="1"/>
      <c r="AO16" s="1"/>
      <c r="AP16" s="19"/>
      <c r="AW16" s="20"/>
      <c r="AX16" s="7"/>
      <c r="AY16" s="7"/>
      <c r="AZ16" s="4"/>
      <c r="BA16" s="5"/>
      <c r="BB16" s="6"/>
      <c r="BC16" s="6"/>
      <c r="BD16" s="7"/>
      <c r="BE16" s="7"/>
      <c r="BF16" s="7"/>
      <c r="BG16" s="7"/>
      <c r="BH16" s="7"/>
      <c r="BI16" s="7"/>
      <c r="BJ16" s="7"/>
      <c r="BK16" s="7"/>
      <c r="BL16" s="7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>
      <c r="A17" s="1"/>
      <c r="B17" s="64" t="s">
        <v>27</v>
      </c>
      <c r="C17" s="65"/>
      <c r="D17" s="65"/>
      <c r="E17" s="65"/>
      <c r="F17" s="65"/>
      <c r="G17" s="65"/>
      <c r="H17" s="66"/>
      <c r="I17" s="67" t="str">
        <f>IFERROR(__xludf.DUMMYFUNCTION("SPARKLINE(I23:O23,{""CHARTTYPE"",""COLUMN"";""YMIN"",0;""YMAX"",COUNTIF($B$38:$H$62,""*"");""COLOR"",""#FAD5BE""})"),"")</f>
        <v/>
      </c>
      <c r="J17" s="65"/>
      <c r="K17" s="65"/>
      <c r="L17" s="65"/>
      <c r="M17" s="65"/>
      <c r="N17" s="65"/>
      <c r="O17" s="66"/>
      <c r="P17" s="67" t="str">
        <f>IFERROR(__xludf.DUMMYFUNCTION("SPARKLINE(I23:O23,{""CHARTTYPE"",""COLUMN"";""YMIN"",0;""YMAX"",COUNTIF($B$38:$H$62,""*"");""COLOR"",""#EFD2E0""})"),"")</f>
        <v/>
      </c>
      <c r="Q17" s="65"/>
      <c r="R17" s="65"/>
      <c r="S17" s="65"/>
      <c r="T17" s="65"/>
      <c r="U17" s="65"/>
      <c r="V17" s="66"/>
      <c r="W17" s="67" t="str">
        <f>IFERROR(__xludf.DUMMYFUNCTION("SPARKLINE(P23:V23,{""CHARTTYPE"",""COLUMN"";""YMIN"",0;""YMAX"",COUNTIF($B$38:$H$62,""*"");""COLOR"",""#CAE6ED""})"),"")</f>
        <v/>
      </c>
      <c r="X17" s="65"/>
      <c r="Y17" s="65"/>
      <c r="Z17" s="65"/>
      <c r="AA17" s="65"/>
      <c r="AB17" s="65"/>
      <c r="AC17" s="66"/>
      <c r="AD17" s="67" t="str">
        <f>IFERROR(__xludf.DUMMYFUNCTION("SPARKLINE(W23:AC23,{""CHARTTYPE"",""COLUMN"";""YMIN"",0;""YMAX"",COUNTIF($B$38:$H$62,""*"");""COLOR"",""#FFF0C2""})"),"")</f>
        <v/>
      </c>
      <c r="AE17" s="65"/>
      <c r="AF17" s="65"/>
      <c r="AG17" s="65"/>
      <c r="AH17" s="65"/>
      <c r="AI17" s="65"/>
      <c r="AJ17" s="66"/>
      <c r="AK17" s="67" t="str">
        <f>IFERROR(__xludf.DUMMYFUNCTION("SPARKLINE(AK29:AM29,{""CHARTTYPE"",""COLUMN"";""YMIN"",0;""YMAX"",COUNTIF($B$38:$H$62,""*"");""COLOR"",""#D9EAD3""})"),"")</f>
        <v/>
      </c>
      <c r="AL17" s="65"/>
      <c r="AM17" s="68"/>
      <c r="AN17" s="69"/>
      <c r="AP17" s="70"/>
      <c r="AQ17" s="71"/>
      <c r="AR17" s="71"/>
      <c r="AS17" s="71"/>
      <c r="AT17" s="71"/>
      <c r="AU17" s="71"/>
      <c r="AV17" s="71"/>
      <c r="AW17" s="72"/>
      <c r="AX17" s="7"/>
      <c r="AY17" s="7"/>
      <c r="AZ17" s="4"/>
      <c r="BA17" s="5"/>
      <c r="BB17" s="6"/>
      <c r="BC17" s="6"/>
      <c r="BD17" s="7"/>
      <c r="BE17" s="7"/>
      <c r="BF17" s="7"/>
      <c r="BG17" s="7"/>
      <c r="BH17" s="7"/>
      <c r="BI17" s="7"/>
      <c r="BJ17" s="7"/>
      <c r="BK17" s="7"/>
      <c r="BL17" s="7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>
      <c r="A18" s="1"/>
      <c r="B18" s="73" t="str">
        <f>CONCATENATE(SUM(I23:AO23),"/",SUM(I24:AO24))</f>
        <v>114/775</v>
      </c>
      <c r="H18" s="54"/>
      <c r="I18" s="74"/>
      <c r="O18" s="54"/>
      <c r="P18" s="74"/>
      <c r="V18" s="54"/>
      <c r="W18" s="74"/>
      <c r="AC18" s="54"/>
      <c r="AD18" s="74"/>
      <c r="AJ18" s="54"/>
      <c r="AK18" s="74"/>
      <c r="AM18" s="20"/>
      <c r="AN18" s="69"/>
      <c r="AP18" s="75">
        <v>1.0</v>
      </c>
      <c r="AQ18" s="76" t="str">
        <f t="shared" ref="AQ18:AQ27" si="4">IF(AZ38="","",CONCATENATE(AZ38," - ",TEXT(BG38,"##0%")))</f>
        <v>Drink 2–3 liters of water - 35%</v>
      </c>
      <c r="AR18" s="77"/>
      <c r="AS18" s="77"/>
      <c r="AT18" s="77"/>
      <c r="AU18" s="77"/>
      <c r="AV18" s="77"/>
      <c r="AW18" s="78"/>
      <c r="AX18" s="7"/>
      <c r="AY18" s="7"/>
      <c r="AZ18" s="4"/>
      <c r="BA18" s="5"/>
      <c r="BB18" s="6"/>
      <c r="BC18" s="6"/>
      <c r="BD18" s="7"/>
      <c r="BE18" s="7"/>
      <c r="BF18" s="7"/>
      <c r="BG18" s="7"/>
      <c r="BH18" s="7"/>
      <c r="BI18" s="7"/>
      <c r="BJ18" s="7"/>
      <c r="BK18" s="7"/>
      <c r="BL18" s="7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>
      <c r="A19" s="1"/>
      <c r="B19" s="79">
        <f>SUM(I23:AO23)/SUM(I24:AO24)</f>
        <v>0.1470967742</v>
      </c>
      <c r="H19" s="54"/>
      <c r="I19" s="74"/>
      <c r="O19" s="54"/>
      <c r="P19" s="74"/>
      <c r="V19" s="54"/>
      <c r="W19" s="74"/>
      <c r="AC19" s="54"/>
      <c r="AD19" s="74"/>
      <c r="AJ19" s="54"/>
      <c r="AK19" s="74"/>
      <c r="AM19" s="20"/>
      <c r="AN19" s="69"/>
      <c r="AP19" s="75">
        <v>2.0</v>
      </c>
      <c r="AQ19" s="76" t="str">
        <f t="shared" si="4"/>
        <v>Review weekly goals - 33%</v>
      </c>
      <c r="AR19" s="77"/>
      <c r="AS19" s="77"/>
      <c r="AT19" s="77"/>
      <c r="AU19" s="77"/>
      <c r="AV19" s="77"/>
      <c r="AW19" s="78"/>
      <c r="AX19" s="7"/>
      <c r="AY19" s="7"/>
      <c r="AZ19" s="4"/>
      <c r="BA19" s="5"/>
      <c r="BB19" s="6"/>
      <c r="BC19" s="6"/>
      <c r="BD19" s="7"/>
      <c r="BE19" s="7"/>
      <c r="BF19" s="7"/>
      <c r="BG19" s="7"/>
      <c r="BH19" s="7"/>
      <c r="BI19" s="7"/>
      <c r="BJ19" s="7"/>
      <c r="BK19" s="7"/>
      <c r="BL19" s="7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>
      <c r="A20" s="1"/>
      <c r="B20" s="73"/>
      <c r="H20" s="54"/>
      <c r="I20" s="74"/>
      <c r="O20" s="54"/>
      <c r="P20" s="74"/>
      <c r="V20" s="54"/>
      <c r="W20" s="74"/>
      <c r="AC20" s="54"/>
      <c r="AD20" s="74"/>
      <c r="AJ20" s="54"/>
      <c r="AK20" s="74"/>
      <c r="AM20" s="20"/>
      <c r="AN20" s="69"/>
      <c r="AP20" s="75">
        <v>3.0</v>
      </c>
      <c r="AQ20" s="76" t="str">
        <f t="shared" si="4"/>
        <v>Language practice / learning - 33%</v>
      </c>
      <c r="AR20" s="77"/>
      <c r="AS20" s="77"/>
      <c r="AT20" s="77"/>
      <c r="AU20" s="77"/>
      <c r="AV20" s="77"/>
      <c r="AW20" s="78"/>
      <c r="AX20" s="7"/>
      <c r="AY20" s="7"/>
      <c r="AZ20" s="4"/>
      <c r="BA20" s="5"/>
      <c r="BB20" s="6"/>
      <c r="BC20" s="6"/>
      <c r="BD20" s="7"/>
      <c r="BE20" s="7"/>
      <c r="BF20" s="7"/>
      <c r="BG20" s="7"/>
      <c r="BH20" s="7"/>
      <c r="BI20" s="7"/>
      <c r="BJ20" s="7"/>
      <c r="BK20" s="7"/>
      <c r="BL20" s="7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>
      <c r="A21" s="1"/>
      <c r="B21" s="73"/>
      <c r="H21" s="54"/>
      <c r="I21" s="74"/>
      <c r="O21" s="54"/>
      <c r="P21" s="74"/>
      <c r="V21" s="54"/>
      <c r="W21" s="74"/>
      <c r="AC21" s="54"/>
      <c r="AD21" s="74"/>
      <c r="AJ21" s="54"/>
      <c r="AK21" s="74"/>
      <c r="AM21" s="20"/>
      <c r="AN21" s="69"/>
      <c r="AP21" s="75">
        <v>4.0</v>
      </c>
      <c r="AQ21" s="76" t="str">
        <f t="shared" si="4"/>
        <v>Morning stretch - 29%</v>
      </c>
      <c r="AR21" s="77"/>
      <c r="AS21" s="77"/>
      <c r="AT21" s="77"/>
      <c r="AU21" s="77"/>
      <c r="AV21" s="77"/>
      <c r="AW21" s="78"/>
      <c r="AX21" s="7"/>
      <c r="AY21" s="7"/>
      <c r="AZ21" s="4"/>
      <c r="BA21" s="5"/>
      <c r="BB21" s="6"/>
      <c r="BC21" s="6"/>
      <c r="BD21" s="7"/>
      <c r="BE21" s="7"/>
      <c r="BF21" s="7"/>
      <c r="BG21" s="7"/>
      <c r="BH21" s="7"/>
      <c r="BI21" s="7"/>
      <c r="BJ21" s="7"/>
      <c r="BK21" s="7"/>
      <c r="BL21" s="7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>
      <c r="A22" s="1"/>
      <c r="B22" s="80"/>
      <c r="C22" s="56"/>
      <c r="D22" s="56"/>
      <c r="E22" s="56"/>
      <c r="F22" s="56"/>
      <c r="G22" s="56"/>
      <c r="H22" s="57"/>
      <c r="I22" s="55"/>
      <c r="J22" s="56"/>
      <c r="K22" s="56"/>
      <c r="L22" s="56"/>
      <c r="M22" s="56"/>
      <c r="N22" s="56"/>
      <c r="O22" s="57"/>
      <c r="P22" s="55"/>
      <c r="Q22" s="56"/>
      <c r="R22" s="56"/>
      <c r="S22" s="56"/>
      <c r="T22" s="56"/>
      <c r="U22" s="56"/>
      <c r="V22" s="57"/>
      <c r="W22" s="55"/>
      <c r="X22" s="56"/>
      <c r="Y22" s="56"/>
      <c r="Z22" s="56"/>
      <c r="AA22" s="56"/>
      <c r="AB22" s="56"/>
      <c r="AC22" s="57"/>
      <c r="AD22" s="55"/>
      <c r="AE22" s="56"/>
      <c r="AF22" s="56"/>
      <c r="AG22" s="56"/>
      <c r="AH22" s="56"/>
      <c r="AI22" s="56"/>
      <c r="AJ22" s="57"/>
      <c r="AK22" s="55"/>
      <c r="AL22" s="56"/>
      <c r="AM22" s="58"/>
      <c r="AN22" s="69"/>
      <c r="AP22" s="75">
        <v>5.0</v>
      </c>
      <c r="AQ22" s="76" t="str">
        <f t="shared" si="4"/>
        <v>Take vitamins / supplements - 29%</v>
      </c>
      <c r="AR22" s="77"/>
      <c r="AS22" s="77"/>
      <c r="AT22" s="77"/>
      <c r="AU22" s="77"/>
      <c r="AV22" s="77"/>
      <c r="AW22" s="78"/>
      <c r="AX22" s="7"/>
      <c r="AY22" s="7"/>
      <c r="AZ22" s="4"/>
      <c r="BA22" s="5"/>
      <c r="BB22" s="6"/>
      <c r="BC22" s="6"/>
      <c r="BD22" s="7"/>
      <c r="BE22" s="7"/>
      <c r="BF22" s="7"/>
      <c r="BG22" s="7"/>
      <c r="BH22" s="7"/>
      <c r="BI22" s="7"/>
      <c r="BJ22" s="7"/>
      <c r="BK22" s="7"/>
      <c r="BL22" s="7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>
      <c r="A23" s="1"/>
      <c r="B23" s="81" t="s">
        <v>28</v>
      </c>
      <c r="C23" s="82"/>
      <c r="D23" s="82"/>
      <c r="E23" s="82"/>
      <c r="F23" s="82"/>
      <c r="G23" s="82"/>
      <c r="H23" s="83"/>
      <c r="I23" s="84">
        <f t="shared" ref="I23:AK23" si="5">IF(I16="","", COUNTIF(K38:K62,TRUE))</f>
        <v>17</v>
      </c>
      <c r="J23" s="84">
        <f t="shared" si="5"/>
        <v>15</v>
      </c>
      <c r="K23" s="84">
        <f t="shared" si="5"/>
        <v>15</v>
      </c>
      <c r="L23" s="84">
        <f t="shared" si="5"/>
        <v>16</v>
      </c>
      <c r="M23" s="84">
        <f t="shared" si="5"/>
        <v>15</v>
      </c>
      <c r="N23" s="84">
        <f t="shared" si="5"/>
        <v>15</v>
      </c>
      <c r="O23" s="84">
        <f t="shared" si="5"/>
        <v>18</v>
      </c>
      <c r="P23" s="84">
        <f t="shared" si="5"/>
        <v>3</v>
      </c>
      <c r="Q23" s="84">
        <f t="shared" si="5"/>
        <v>0</v>
      </c>
      <c r="R23" s="84">
        <f t="shared" si="5"/>
        <v>0</v>
      </c>
      <c r="S23" s="84">
        <f t="shared" si="5"/>
        <v>0</v>
      </c>
      <c r="T23" s="84">
        <f t="shared" si="5"/>
        <v>0</v>
      </c>
      <c r="U23" s="84">
        <f t="shared" si="5"/>
        <v>0</v>
      </c>
      <c r="V23" s="84">
        <f t="shared" si="5"/>
        <v>0</v>
      </c>
      <c r="W23" s="84">
        <f t="shared" si="5"/>
        <v>0</v>
      </c>
      <c r="X23" s="84">
        <f t="shared" si="5"/>
        <v>0</v>
      </c>
      <c r="Y23" s="84">
        <f t="shared" si="5"/>
        <v>0</v>
      </c>
      <c r="Z23" s="84">
        <f t="shared" si="5"/>
        <v>0</v>
      </c>
      <c r="AA23" s="84">
        <f t="shared" si="5"/>
        <v>0</v>
      </c>
      <c r="AB23" s="84">
        <f t="shared" si="5"/>
        <v>0</v>
      </c>
      <c r="AC23" s="84">
        <f t="shared" si="5"/>
        <v>0</v>
      </c>
      <c r="AD23" s="84">
        <f t="shared" si="5"/>
        <v>0</v>
      </c>
      <c r="AE23" s="84">
        <f t="shared" si="5"/>
        <v>0</v>
      </c>
      <c r="AF23" s="84">
        <f t="shared" si="5"/>
        <v>0</v>
      </c>
      <c r="AG23" s="84">
        <f t="shared" si="5"/>
        <v>0</v>
      </c>
      <c r="AH23" s="84">
        <f t="shared" si="5"/>
        <v>0</v>
      </c>
      <c r="AI23" s="84">
        <f t="shared" si="5"/>
        <v>0</v>
      </c>
      <c r="AJ23" s="84">
        <f t="shared" si="5"/>
        <v>0</v>
      </c>
      <c r="AK23" s="84">
        <f t="shared" si="5"/>
        <v>0</v>
      </c>
      <c r="AL23" s="84">
        <f t="shared" ref="AL23:AM23" si="6">IF(AL16="","", COUNTIF(#REF!,TRUE))</f>
        <v>0</v>
      </c>
      <c r="AM23" s="85">
        <f t="shared" si="6"/>
        <v>0</v>
      </c>
      <c r="AN23" s="69"/>
      <c r="AP23" s="75">
        <v>6.0</v>
      </c>
      <c r="AQ23" s="76" t="str">
        <f t="shared" si="4"/>
        <v>Sleep 7–8 hours - 29%</v>
      </c>
      <c r="AR23" s="77"/>
      <c r="AS23" s="77"/>
      <c r="AT23" s="77"/>
      <c r="AU23" s="77"/>
      <c r="AV23" s="77"/>
      <c r="AW23" s="78"/>
      <c r="AX23" s="7"/>
      <c r="AY23" s="7"/>
      <c r="AZ23" s="4"/>
      <c r="BA23" s="5"/>
      <c r="BB23" s="6"/>
      <c r="BC23" s="6"/>
      <c r="BD23" s="7"/>
      <c r="BE23" s="7"/>
      <c r="BF23" s="7"/>
      <c r="BG23" s="7"/>
      <c r="BH23" s="7"/>
      <c r="BI23" s="7"/>
      <c r="BJ23" s="7"/>
      <c r="BK23" s="7"/>
      <c r="BL23" s="7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>
      <c r="A24" s="35"/>
      <c r="B24" s="81" t="s">
        <v>29</v>
      </c>
      <c r="C24" s="82"/>
      <c r="D24" s="82"/>
      <c r="E24" s="82"/>
      <c r="F24" s="82"/>
      <c r="G24" s="82"/>
      <c r="H24" s="83"/>
      <c r="I24" s="84">
        <f t="shared" ref="I24:AM24" si="7">IF(I16="","",COUNTIF($B$38:$H$62,"*"))</f>
        <v>25</v>
      </c>
      <c r="J24" s="84">
        <f t="shared" si="7"/>
        <v>25</v>
      </c>
      <c r="K24" s="84">
        <f t="shared" si="7"/>
        <v>25</v>
      </c>
      <c r="L24" s="84">
        <f t="shared" si="7"/>
        <v>25</v>
      </c>
      <c r="M24" s="84">
        <f t="shared" si="7"/>
        <v>25</v>
      </c>
      <c r="N24" s="84">
        <f t="shared" si="7"/>
        <v>25</v>
      </c>
      <c r="O24" s="84">
        <f t="shared" si="7"/>
        <v>25</v>
      </c>
      <c r="P24" s="84">
        <f t="shared" si="7"/>
        <v>25</v>
      </c>
      <c r="Q24" s="84">
        <f t="shared" si="7"/>
        <v>25</v>
      </c>
      <c r="R24" s="84">
        <f t="shared" si="7"/>
        <v>25</v>
      </c>
      <c r="S24" s="84">
        <f t="shared" si="7"/>
        <v>25</v>
      </c>
      <c r="T24" s="84">
        <f t="shared" si="7"/>
        <v>25</v>
      </c>
      <c r="U24" s="84">
        <f t="shared" si="7"/>
        <v>25</v>
      </c>
      <c r="V24" s="84">
        <f t="shared" si="7"/>
        <v>25</v>
      </c>
      <c r="W24" s="84">
        <f t="shared" si="7"/>
        <v>25</v>
      </c>
      <c r="X24" s="84">
        <f t="shared" si="7"/>
        <v>25</v>
      </c>
      <c r="Y24" s="84">
        <f t="shared" si="7"/>
        <v>25</v>
      </c>
      <c r="Z24" s="84">
        <f t="shared" si="7"/>
        <v>25</v>
      </c>
      <c r="AA24" s="84">
        <f t="shared" si="7"/>
        <v>25</v>
      </c>
      <c r="AB24" s="84">
        <f t="shared" si="7"/>
        <v>25</v>
      </c>
      <c r="AC24" s="84">
        <f t="shared" si="7"/>
        <v>25</v>
      </c>
      <c r="AD24" s="84">
        <f t="shared" si="7"/>
        <v>25</v>
      </c>
      <c r="AE24" s="84">
        <f t="shared" si="7"/>
        <v>25</v>
      </c>
      <c r="AF24" s="84">
        <f t="shared" si="7"/>
        <v>25</v>
      </c>
      <c r="AG24" s="84">
        <f t="shared" si="7"/>
        <v>25</v>
      </c>
      <c r="AH24" s="84">
        <f t="shared" si="7"/>
        <v>25</v>
      </c>
      <c r="AI24" s="84">
        <f t="shared" si="7"/>
        <v>25</v>
      </c>
      <c r="AJ24" s="84">
        <f t="shared" si="7"/>
        <v>25</v>
      </c>
      <c r="AK24" s="84">
        <f t="shared" si="7"/>
        <v>25</v>
      </c>
      <c r="AL24" s="84">
        <f t="shared" si="7"/>
        <v>25</v>
      </c>
      <c r="AM24" s="85">
        <f t="shared" si="7"/>
        <v>25</v>
      </c>
      <c r="AN24" s="69"/>
      <c r="AP24" s="75">
        <v>7.0</v>
      </c>
      <c r="AQ24" s="76" t="str">
        <f t="shared" si="4"/>
        <v>Eat 3 balanced meals - 29%</v>
      </c>
      <c r="AR24" s="77"/>
      <c r="AS24" s="77"/>
      <c r="AT24" s="77"/>
      <c r="AU24" s="77"/>
      <c r="AV24" s="77"/>
      <c r="AW24" s="78"/>
      <c r="AX24" s="7"/>
      <c r="AY24" s="7"/>
      <c r="AZ24" s="4"/>
      <c r="BA24" s="5"/>
      <c r="BB24" s="6"/>
      <c r="BC24" s="6"/>
      <c r="BD24" s="7"/>
      <c r="BE24" s="7"/>
      <c r="BF24" s="7"/>
      <c r="BG24" s="7"/>
      <c r="BH24" s="7"/>
      <c r="BI24" s="7"/>
      <c r="BJ24" s="7"/>
      <c r="BK24" s="7"/>
      <c r="BL24" s="7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>
      <c r="A25" s="1"/>
      <c r="B25" s="81" t="s">
        <v>6</v>
      </c>
      <c r="C25" s="82"/>
      <c r="D25" s="82"/>
      <c r="E25" s="82"/>
      <c r="F25" s="82"/>
      <c r="G25" s="82"/>
      <c r="H25" s="83"/>
      <c r="I25" s="84">
        <f t="shared" ref="I25:AM25" si="8">IF(I16="","",I24-I23)</f>
        <v>8</v>
      </c>
      <c r="J25" s="84">
        <f t="shared" si="8"/>
        <v>10</v>
      </c>
      <c r="K25" s="84">
        <f t="shared" si="8"/>
        <v>10</v>
      </c>
      <c r="L25" s="84">
        <f t="shared" si="8"/>
        <v>9</v>
      </c>
      <c r="M25" s="84">
        <f t="shared" si="8"/>
        <v>10</v>
      </c>
      <c r="N25" s="84">
        <f t="shared" si="8"/>
        <v>10</v>
      </c>
      <c r="O25" s="84">
        <f t="shared" si="8"/>
        <v>7</v>
      </c>
      <c r="P25" s="84">
        <f t="shared" si="8"/>
        <v>22</v>
      </c>
      <c r="Q25" s="84">
        <f t="shared" si="8"/>
        <v>25</v>
      </c>
      <c r="R25" s="84">
        <f t="shared" si="8"/>
        <v>25</v>
      </c>
      <c r="S25" s="84">
        <f t="shared" si="8"/>
        <v>25</v>
      </c>
      <c r="T25" s="84">
        <f t="shared" si="8"/>
        <v>25</v>
      </c>
      <c r="U25" s="84">
        <f t="shared" si="8"/>
        <v>25</v>
      </c>
      <c r="V25" s="84">
        <f t="shared" si="8"/>
        <v>25</v>
      </c>
      <c r="W25" s="84">
        <f t="shared" si="8"/>
        <v>25</v>
      </c>
      <c r="X25" s="84">
        <f t="shared" si="8"/>
        <v>25</v>
      </c>
      <c r="Y25" s="84">
        <f t="shared" si="8"/>
        <v>25</v>
      </c>
      <c r="Z25" s="84">
        <f t="shared" si="8"/>
        <v>25</v>
      </c>
      <c r="AA25" s="84">
        <f t="shared" si="8"/>
        <v>25</v>
      </c>
      <c r="AB25" s="84">
        <f t="shared" si="8"/>
        <v>25</v>
      </c>
      <c r="AC25" s="84">
        <f t="shared" si="8"/>
        <v>25</v>
      </c>
      <c r="AD25" s="84">
        <f t="shared" si="8"/>
        <v>25</v>
      </c>
      <c r="AE25" s="84">
        <f t="shared" si="8"/>
        <v>25</v>
      </c>
      <c r="AF25" s="84">
        <f t="shared" si="8"/>
        <v>25</v>
      </c>
      <c r="AG25" s="84">
        <f t="shared" si="8"/>
        <v>25</v>
      </c>
      <c r="AH25" s="84">
        <f t="shared" si="8"/>
        <v>25</v>
      </c>
      <c r="AI25" s="84">
        <f t="shared" si="8"/>
        <v>25</v>
      </c>
      <c r="AJ25" s="84">
        <f t="shared" si="8"/>
        <v>25</v>
      </c>
      <c r="AK25" s="84">
        <f t="shared" si="8"/>
        <v>25</v>
      </c>
      <c r="AL25" s="84">
        <f t="shared" si="8"/>
        <v>25</v>
      </c>
      <c r="AM25" s="85">
        <f t="shared" si="8"/>
        <v>25</v>
      </c>
      <c r="AN25" s="69"/>
      <c r="AP25" s="75">
        <v>8.0</v>
      </c>
      <c r="AQ25" s="76" t="str">
        <f t="shared" si="4"/>
        <v>Skincare routine - 29%</v>
      </c>
      <c r="AR25" s="77"/>
      <c r="AS25" s="77"/>
      <c r="AT25" s="77"/>
      <c r="AU25" s="77"/>
      <c r="AV25" s="77"/>
      <c r="AW25" s="78"/>
      <c r="AX25" s="7"/>
      <c r="AY25" s="7"/>
      <c r="AZ25" s="4"/>
      <c r="BA25" s="5"/>
      <c r="BB25" s="6"/>
      <c r="BC25" s="6"/>
      <c r="BD25" s="7"/>
      <c r="BE25" s="7"/>
      <c r="BF25" s="7"/>
      <c r="BG25" s="7"/>
      <c r="BH25" s="7"/>
      <c r="BI25" s="7"/>
      <c r="BJ25" s="7"/>
      <c r="BK25" s="7"/>
      <c r="BL25" s="7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>
      <c r="A26" s="1"/>
      <c r="B26" s="64" t="s">
        <v>30</v>
      </c>
      <c r="C26" s="65"/>
      <c r="D26" s="65"/>
      <c r="E26" s="65"/>
      <c r="F26" s="65"/>
      <c r="G26" s="65"/>
      <c r="H26" s="66"/>
      <c r="I26" s="86" t="str">
        <f>CONCATENATE(SUM(I23:O23),"/",SUM(I24:O24))</f>
        <v>111/175</v>
      </c>
      <c r="J26" s="82"/>
      <c r="K26" s="82"/>
      <c r="L26" s="82"/>
      <c r="M26" s="82"/>
      <c r="N26" s="82"/>
      <c r="O26" s="83"/>
      <c r="P26" s="86" t="str">
        <f>CONCATENATE(SUM(P23:V23),"/",SUM(P24:V24))</f>
        <v>3/175</v>
      </c>
      <c r="Q26" s="82"/>
      <c r="R26" s="82"/>
      <c r="S26" s="82"/>
      <c r="T26" s="82"/>
      <c r="U26" s="82"/>
      <c r="V26" s="83"/>
      <c r="W26" s="86" t="str">
        <f>CONCATENATE(SUM(W23:AC23),"/",SUM(W24:AC24))</f>
        <v>0/175</v>
      </c>
      <c r="X26" s="82"/>
      <c r="Y26" s="82"/>
      <c r="Z26" s="82"/>
      <c r="AA26" s="82"/>
      <c r="AB26" s="82"/>
      <c r="AC26" s="83"/>
      <c r="AD26" s="86" t="str">
        <f>CONCATENATE(SUM(AD23:AJ23),"/",SUM(AD24:AJ24))</f>
        <v>0/175</v>
      </c>
      <c r="AE26" s="82"/>
      <c r="AF26" s="82"/>
      <c r="AG26" s="82"/>
      <c r="AH26" s="82"/>
      <c r="AI26" s="82"/>
      <c r="AJ26" s="83"/>
      <c r="AK26" s="86" t="str">
        <f>CONCATENATE(SUM(AK23:AM23),"/",SUM(AK24:AM24))</f>
        <v>0/75</v>
      </c>
      <c r="AL26" s="82"/>
      <c r="AM26" s="87"/>
      <c r="AN26" s="69"/>
      <c r="AP26" s="75">
        <v>9.0</v>
      </c>
      <c r="AQ26" s="76" t="str">
        <f t="shared" si="4"/>
        <v>Plan your day - 29%</v>
      </c>
      <c r="AR26" s="77"/>
      <c r="AS26" s="77"/>
      <c r="AT26" s="77"/>
      <c r="AU26" s="77"/>
      <c r="AV26" s="77"/>
      <c r="AW26" s="78"/>
      <c r="AX26" s="7"/>
      <c r="AY26" s="7"/>
      <c r="AZ26" s="4"/>
      <c r="BA26" s="5"/>
      <c r="BB26" s="6"/>
      <c r="BC26" s="6"/>
      <c r="BD26" s="7"/>
      <c r="BE26" s="7"/>
      <c r="BF26" s="7"/>
      <c r="BG26" s="7"/>
      <c r="BH26" s="7"/>
      <c r="BI26" s="7"/>
      <c r="BJ26" s="7"/>
      <c r="BK26" s="7"/>
      <c r="BL26" s="7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>
      <c r="A27" s="1"/>
      <c r="B27" s="19"/>
      <c r="H27" s="54"/>
      <c r="I27" s="88">
        <f>SUM(I23:O23)/SUM(I24:O24)</f>
        <v>0.6342857143</v>
      </c>
      <c r="J27" s="82"/>
      <c r="K27" s="82"/>
      <c r="L27" s="82"/>
      <c r="M27" s="82"/>
      <c r="N27" s="82"/>
      <c r="O27" s="83"/>
      <c r="P27" s="88">
        <f>SUM(P23:V23)/SUM(P24:V24)</f>
        <v>0.01714285714</v>
      </c>
      <c r="Q27" s="82"/>
      <c r="R27" s="82"/>
      <c r="S27" s="82"/>
      <c r="T27" s="82"/>
      <c r="U27" s="82"/>
      <c r="V27" s="83"/>
      <c r="W27" s="88">
        <f>SUM(W23:AC23)/SUM(W24:AC24)</f>
        <v>0</v>
      </c>
      <c r="X27" s="82"/>
      <c r="Y27" s="82"/>
      <c r="Z27" s="82"/>
      <c r="AA27" s="82"/>
      <c r="AB27" s="82"/>
      <c r="AC27" s="83"/>
      <c r="AD27" s="88">
        <f>SUM(AD23:AJ23)/SUM(AD24:AJ24)</f>
        <v>0</v>
      </c>
      <c r="AE27" s="82"/>
      <c r="AF27" s="82"/>
      <c r="AG27" s="82"/>
      <c r="AH27" s="82"/>
      <c r="AI27" s="82"/>
      <c r="AJ27" s="83"/>
      <c r="AK27" s="88">
        <f>SUM(AK23:AM23)/SUM(AK24:AM24)</f>
        <v>0</v>
      </c>
      <c r="AL27" s="82"/>
      <c r="AM27" s="87"/>
      <c r="AN27" s="69"/>
      <c r="AP27" s="75">
        <v>10.0</v>
      </c>
      <c r="AQ27" s="76" t="str">
        <f t="shared" si="4"/>
        <v>Positive affirmations - 29%</v>
      </c>
      <c r="AR27" s="77"/>
      <c r="AS27" s="77"/>
      <c r="AT27" s="77"/>
      <c r="AU27" s="77"/>
      <c r="AV27" s="77"/>
      <c r="AW27" s="78"/>
      <c r="AX27" s="7"/>
      <c r="AY27" s="7"/>
      <c r="AZ27" s="4"/>
      <c r="BA27" s="5"/>
      <c r="BB27" s="6"/>
      <c r="BC27" s="6"/>
      <c r="BD27" s="7"/>
      <c r="BE27" s="7"/>
      <c r="BF27" s="7"/>
      <c r="BG27" s="7"/>
      <c r="BH27" s="7"/>
      <c r="BI27" s="7"/>
      <c r="BJ27" s="7"/>
      <c r="BK27" s="7"/>
      <c r="BL27" s="7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>
      <c r="A28" s="1"/>
      <c r="B28" s="28"/>
      <c r="C28" s="29"/>
      <c r="D28" s="29"/>
      <c r="E28" s="29"/>
      <c r="F28" s="29"/>
      <c r="G28" s="29"/>
      <c r="H28" s="89"/>
      <c r="I28" s="90" t="str">
        <f>IFERROR(__xludf.DUMMYFUNCTION("SPARKLINE(I27,{""CHARTTYPE"",""BAR"";""MAX"",1;""COLOR1"",""FAD5BE""})"),"")</f>
        <v/>
      </c>
      <c r="J28" s="91"/>
      <c r="K28" s="91"/>
      <c r="L28" s="91"/>
      <c r="M28" s="91"/>
      <c r="N28" s="91"/>
      <c r="O28" s="92"/>
      <c r="P28" s="90" t="str">
        <f>IFERROR(__xludf.DUMMYFUNCTION("SPARKLINE(P27,{""CHARTTYPE"",""BAR"";""MAX"",1;""COLOR1"",""#EFD2E0""})"),"")</f>
        <v/>
      </c>
      <c r="Q28" s="91"/>
      <c r="R28" s="91"/>
      <c r="S28" s="91"/>
      <c r="T28" s="91"/>
      <c r="U28" s="91"/>
      <c r="V28" s="92"/>
      <c r="W28" s="90" t="str">
        <f>IFERROR(__xludf.DUMMYFUNCTION("SPARKLINE(W27,{""CHARTTYPE"",""BAR"";""MAX"",1;""COLOR1"",""#CAE6ED""})"),"")</f>
        <v/>
      </c>
      <c r="X28" s="91"/>
      <c r="Y28" s="91"/>
      <c r="Z28" s="91"/>
      <c r="AA28" s="91"/>
      <c r="AB28" s="91"/>
      <c r="AC28" s="92"/>
      <c r="AD28" s="90" t="str">
        <f>IFERROR(__xludf.DUMMYFUNCTION("SPARKLINE(AD27,{""CHARTTYPE"",""BAR"";""MAX"",1;""COLOR1"",""#FFF0C2""})"),"")</f>
        <v/>
      </c>
      <c r="AE28" s="91"/>
      <c r="AF28" s="91"/>
      <c r="AG28" s="91"/>
      <c r="AH28" s="91"/>
      <c r="AI28" s="91"/>
      <c r="AJ28" s="92"/>
      <c r="AK28" s="90" t="str">
        <f>IFERROR(__xludf.DUMMYFUNCTION("SPARKLINE(AK27,{""CHARTTYPE"",""BAR"";""MAX"",1;""COLOR1"",""#D9EAD3""})"),"")</f>
        <v/>
      </c>
      <c r="AL28" s="91"/>
      <c r="AM28" s="93"/>
      <c r="AN28" s="69"/>
      <c r="AP28" s="94"/>
      <c r="AQ28" s="95"/>
      <c r="AR28" s="95"/>
      <c r="AS28" s="95"/>
      <c r="AT28" s="95"/>
      <c r="AU28" s="95"/>
      <c r="AV28" s="95"/>
      <c r="AW28" s="96"/>
      <c r="AX28" s="7"/>
      <c r="AY28" s="7"/>
      <c r="AZ28" s="4"/>
      <c r="BA28" s="5"/>
      <c r="BB28" s="6"/>
      <c r="BC28" s="6"/>
      <c r="BD28" s="7"/>
      <c r="BE28" s="7"/>
      <c r="BF28" s="7"/>
      <c r="BG28" s="7"/>
      <c r="BH28" s="7"/>
      <c r="BI28" s="7"/>
      <c r="BJ28" s="7"/>
      <c r="BK28" s="7"/>
      <c r="BL28" s="7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97">
        <f t="shared" ref="AK29:AM29" si="9">IF(AK23="",0,AK23)</f>
        <v>0</v>
      </c>
      <c r="AL29" s="97">
        <f t="shared" si="9"/>
        <v>0</v>
      </c>
      <c r="AM29" s="97">
        <f t="shared" si="9"/>
        <v>0</v>
      </c>
      <c r="AN29" s="1"/>
      <c r="AP29" s="1"/>
      <c r="AQ29" s="1"/>
      <c r="AR29" s="1"/>
      <c r="AS29" s="1"/>
      <c r="AT29" s="1"/>
      <c r="AU29" s="1"/>
      <c r="AV29" s="1"/>
      <c r="AW29" s="1"/>
      <c r="AX29" s="7"/>
      <c r="AY29" s="7"/>
      <c r="AZ29" s="4"/>
      <c r="BA29" s="5"/>
      <c r="BB29" s="6"/>
      <c r="BC29" s="6"/>
      <c r="BD29" s="7"/>
      <c r="BE29" s="7"/>
      <c r="BF29" s="7"/>
      <c r="BG29" s="7"/>
      <c r="BH29" s="7"/>
      <c r="BI29" s="7"/>
      <c r="BJ29" s="7"/>
      <c r="BK29" s="7"/>
      <c r="BL29" s="7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7"/>
      <c r="AY30" s="7"/>
      <c r="AZ30" s="4"/>
      <c r="BA30" s="5"/>
      <c r="BB30" s="6"/>
      <c r="BC30" s="6"/>
      <c r="BD30" s="7"/>
      <c r="BE30" s="7"/>
      <c r="BF30" s="7"/>
      <c r="BG30" s="7"/>
      <c r="BH30" s="7"/>
      <c r="BI30" s="7"/>
      <c r="BJ30" s="7"/>
      <c r="BK30" s="7"/>
      <c r="BL30" s="7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7"/>
      <c r="AY31" s="7"/>
      <c r="AZ31" s="4"/>
      <c r="BA31" s="5"/>
      <c r="BB31" s="6"/>
      <c r="BC31" s="6"/>
      <c r="BD31" s="7"/>
      <c r="BE31" s="7"/>
      <c r="BF31" s="7"/>
      <c r="BG31" s="7"/>
      <c r="BH31" s="7"/>
      <c r="BI31" s="7"/>
      <c r="BJ31" s="7"/>
      <c r="BK31" s="7"/>
      <c r="BL31" s="7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7"/>
      <c r="AY32" s="7"/>
      <c r="AZ32" s="4"/>
      <c r="BA32" s="5"/>
      <c r="BB32" s="6"/>
      <c r="BC32" s="6"/>
      <c r="BD32" s="7"/>
      <c r="BE32" s="7"/>
      <c r="BF32" s="7"/>
      <c r="BG32" s="7"/>
      <c r="BH32" s="7"/>
      <c r="BI32" s="7"/>
      <c r="BJ32" s="7"/>
      <c r="BK32" s="7"/>
      <c r="BL32" s="7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>
      <c r="A33" s="2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>
      <c r="A34" s="21"/>
      <c r="B34" s="98" t="s">
        <v>31</v>
      </c>
      <c r="C34" s="9"/>
      <c r="D34" s="9"/>
      <c r="E34" s="9"/>
      <c r="F34" s="9"/>
      <c r="G34" s="9"/>
      <c r="H34" s="99"/>
      <c r="I34" s="100" t="s">
        <v>32</v>
      </c>
      <c r="J34" s="99"/>
      <c r="K34" s="101" t="s">
        <v>21</v>
      </c>
      <c r="L34" s="9"/>
      <c r="M34" s="9"/>
      <c r="N34" s="9"/>
      <c r="O34" s="9"/>
      <c r="P34" s="9"/>
      <c r="Q34" s="99"/>
      <c r="R34" s="102" t="s">
        <v>22</v>
      </c>
      <c r="S34" s="9"/>
      <c r="T34" s="9"/>
      <c r="U34" s="9"/>
      <c r="V34" s="9"/>
      <c r="W34" s="9"/>
      <c r="X34" s="99"/>
      <c r="Y34" s="103" t="s">
        <v>23</v>
      </c>
      <c r="Z34" s="9"/>
      <c r="AA34" s="9"/>
      <c r="AB34" s="9"/>
      <c r="AC34" s="9"/>
      <c r="AD34" s="9"/>
      <c r="AE34" s="99"/>
      <c r="AF34" s="104" t="s">
        <v>24</v>
      </c>
      <c r="AG34" s="9"/>
      <c r="AH34" s="9"/>
      <c r="AI34" s="9"/>
      <c r="AJ34" s="9"/>
      <c r="AK34" s="9"/>
      <c r="AL34" s="99"/>
      <c r="AM34" s="105" t="s">
        <v>25</v>
      </c>
      <c r="AN34" s="106"/>
      <c r="AO34" s="106"/>
      <c r="AP34" s="107" t="s">
        <v>4</v>
      </c>
      <c r="AQ34" s="108" t="s">
        <v>6</v>
      </c>
      <c r="AR34" s="109">
        <f>BF2/BF4</f>
        <v>0.1993006993</v>
      </c>
      <c r="AS34" s="110" t="s">
        <v>33</v>
      </c>
      <c r="AT34" s="9"/>
      <c r="AU34" s="9"/>
      <c r="AV34" s="9"/>
      <c r="AW34" s="10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>
      <c r="A35" s="21"/>
      <c r="B35" s="19"/>
      <c r="H35" s="111"/>
      <c r="I35" s="112"/>
      <c r="J35" s="111"/>
      <c r="K35" s="113"/>
      <c r="L35" s="114"/>
      <c r="M35" s="114"/>
      <c r="N35" s="114"/>
      <c r="O35" s="114"/>
      <c r="P35" s="114"/>
      <c r="Q35" s="115"/>
      <c r="R35" s="113"/>
      <c r="S35" s="114"/>
      <c r="T35" s="114"/>
      <c r="U35" s="114"/>
      <c r="V35" s="114"/>
      <c r="W35" s="114"/>
      <c r="X35" s="115"/>
      <c r="Y35" s="113"/>
      <c r="Z35" s="114"/>
      <c r="AA35" s="114"/>
      <c r="AB35" s="114"/>
      <c r="AC35" s="114"/>
      <c r="AD35" s="114"/>
      <c r="AE35" s="115"/>
      <c r="AF35" s="113"/>
      <c r="AG35" s="114"/>
      <c r="AH35" s="114"/>
      <c r="AI35" s="114"/>
      <c r="AJ35" s="114"/>
      <c r="AK35" s="114"/>
      <c r="AL35" s="115"/>
      <c r="AM35" s="116"/>
      <c r="AN35" s="1"/>
      <c r="AO35" s="106"/>
      <c r="AP35" s="19"/>
      <c r="AS35" s="117" t="str">
        <f>IFERROR(__xludf.DUMMYFUNCTION("IF(B38="""","""", SPARKLINE(AR34,{""CHARTTYPE"",""BAR"";""MAX"",1;""COLOR1"",""FAD5BE""}))"),"")</f>
        <v/>
      </c>
      <c r="AW35" s="20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>
      <c r="A36" s="21"/>
      <c r="B36" s="19"/>
      <c r="H36" s="111"/>
      <c r="I36" s="112"/>
      <c r="J36" s="111"/>
      <c r="K36" s="118">
        <f t="shared" ref="K36:AM36" si="10">K37</f>
        <v>46023</v>
      </c>
      <c r="L36" s="118">
        <f t="shared" si="10"/>
        <v>46024</v>
      </c>
      <c r="M36" s="118">
        <f t="shared" si="10"/>
        <v>46025</v>
      </c>
      <c r="N36" s="118">
        <f t="shared" si="10"/>
        <v>46026</v>
      </c>
      <c r="O36" s="118">
        <f t="shared" si="10"/>
        <v>46027</v>
      </c>
      <c r="P36" s="118">
        <f t="shared" si="10"/>
        <v>46028</v>
      </c>
      <c r="Q36" s="118">
        <f t="shared" si="10"/>
        <v>46029</v>
      </c>
      <c r="R36" s="118">
        <f t="shared" si="10"/>
        <v>46030</v>
      </c>
      <c r="S36" s="118">
        <f t="shared" si="10"/>
        <v>46031</v>
      </c>
      <c r="T36" s="118">
        <f t="shared" si="10"/>
        <v>46032</v>
      </c>
      <c r="U36" s="118">
        <f t="shared" si="10"/>
        <v>46033</v>
      </c>
      <c r="V36" s="118">
        <f t="shared" si="10"/>
        <v>46034</v>
      </c>
      <c r="W36" s="118">
        <f t="shared" si="10"/>
        <v>46035</v>
      </c>
      <c r="X36" s="118">
        <f t="shared" si="10"/>
        <v>46036</v>
      </c>
      <c r="Y36" s="118">
        <f t="shared" si="10"/>
        <v>46037</v>
      </c>
      <c r="Z36" s="118">
        <f t="shared" si="10"/>
        <v>46038</v>
      </c>
      <c r="AA36" s="118">
        <f t="shared" si="10"/>
        <v>46039</v>
      </c>
      <c r="AB36" s="118">
        <f t="shared" si="10"/>
        <v>46040</v>
      </c>
      <c r="AC36" s="118">
        <f t="shared" si="10"/>
        <v>46041</v>
      </c>
      <c r="AD36" s="118">
        <f t="shared" si="10"/>
        <v>46042</v>
      </c>
      <c r="AE36" s="118">
        <f t="shared" si="10"/>
        <v>46043</v>
      </c>
      <c r="AF36" s="118">
        <f t="shared" si="10"/>
        <v>46044</v>
      </c>
      <c r="AG36" s="118">
        <f t="shared" si="10"/>
        <v>46045</v>
      </c>
      <c r="AH36" s="118">
        <f t="shared" si="10"/>
        <v>46046</v>
      </c>
      <c r="AI36" s="118">
        <f t="shared" si="10"/>
        <v>46047</v>
      </c>
      <c r="AJ36" s="118">
        <f t="shared" si="10"/>
        <v>46048</v>
      </c>
      <c r="AK36" s="118">
        <f t="shared" si="10"/>
        <v>46049</v>
      </c>
      <c r="AL36" s="118">
        <f t="shared" si="10"/>
        <v>46050</v>
      </c>
      <c r="AM36" s="119">
        <f t="shared" si="10"/>
        <v>46051</v>
      </c>
      <c r="AN36" s="1"/>
      <c r="AO36" s="106"/>
      <c r="AP36" s="19"/>
      <c r="AW36" s="20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>
      <c r="A37" s="21"/>
      <c r="B37" s="120"/>
      <c r="C37" s="114"/>
      <c r="D37" s="114"/>
      <c r="E37" s="114"/>
      <c r="F37" s="114"/>
      <c r="G37" s="114"/>
      <c r="H37" s="115"/>
      <c r="I37" s="113"/>
      <c r="J37" s="115"/>
      <c r="K37" s="121">
        <f>DATE(E10, VLOOKUP(E11, BA1:BB32, 2, FALSE), 1)
</f>
        <v>46023</v>
      </c>
      <c r="L37" s="121">
        <f t="shared" ref="L37:AM37" si="11">IF(MONTH(K37+1)=MONTH($K$37),K37+1,"")</f>
        <v>46024</v>
      </c>
      <c r="M37" s="121">
        <f t="shared" si="11"/>
        <v>46025</v>
      </c>
      <c r="N37" s="121">
        <f t="shared" si="11"/>
        <v>46026</v>
      </c>
      <c r="O37" s="121">
        <f t="shared" si="11"/>
        <v>46027</v>
      </c>
      <c r="P37" s="121">
        <f t="shared" si="11"/>
        <v>46028</v>
      </c>
      <c r="Q37" s="121">
        <f t="shared" si="11"/>
        <v>46029</v>
      </c>
      <c r="R37" s="121">
        <f t="shared" si="11"/>
        <v>46030</v>
      </c>
      <c r="S37" s="121">
        <f t="shared" si="11"/>
        <v>46031</v>
      </c>
      <c r="T37" s="121">
        <f t="shared" si="11"/>
        <v>46032</v>
      </c>
      <c r="U37" s="121">
        <f t="shared" si="11"/>
        <v>46033</v>
      </c>
      <c r="V37" s="121">
        <f t="shared" si="11"/>
        <v>46034</v>
      </c>
      <c r="W37" s="121">
        <f t="shared" si="11"/>
        <v>46035</v>
      </c>
      <c r="X37" s="121">
        <f t="shared" si="11"/>
        <v>46036</v>
      </c>
      <c r="Y37" s="121">
        <f t="shared" si="11"/>
        <v>46037</v>
      </c>
      <c r="Z37" s="121">
        <f t="shared" si="11"/>
        <v>46038</v>
      </c>
      <c r="AA37" s="121">
        <f t="shared" si="11"/>
        <v>46039</v>
      </c>
      <c r="AB37" s="121">
        <f t="shared" si="11"/>
        <v>46040</v>
      </c>
      <c r="AC37" s="121">
        <f t="shared" si="11"/>
        <v>46041</v>
      </c>
      <c r="AD37" s="121">
        <f t="shared" si="11"/>
        <v>46042</v>
      </c>
      <c r="AE37" s="121">
        <f t="shared" si="11"/>
        <v>46043</v>
      </c>
      <c r="AF37" s="121">
        <f t="shared" si="11"/>
        <v>46044</v>
      </c>
      <c r="AG37" s="121">
        <f t="shared" si="11"/>
        <v>46045</v>
      </c>
      <c r="AH37" s="121">
        <f t="shared" si="11"/>
        <v>46046</v>
      </c>
      <c r="AI37" s="121">
        <f t="shared" si="11"/>
        <v>46047</v>
      </c>
      <c r="AJ37" s="121">
        <f t="shared" si="11"/>
        <v>46048</v>
      </c>
      <c r="AK37" s="121">
        <f t="shared" si="11"/>
        <v>46049</v>
      </c>
      <c r="AL37" s="121">
        <f t="shared" si="11"/>
        <v>46050</v>
      </c>
      <c r="AM37" s="122">
        <f t="shared" si="11"/>
        <v>46051</v>
      </c>
      <c r="AN37" s="1"/>
      <c r="AO37" s="106"/>
      <c r="AP37" s="19"/>
      <c r="AW37" s="20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>
      <c r="A38" s="123">
        <v>1.0</v>
      </c>
      <c r="B38" s="124" t="s">
        <v>34</v>
      </c>
      <c r="C38" s="125"/>
      <c r="D38" s="125"/>
      <c r="E38" s="125"/>
      <c r="F38" s="125"/>
      <c r="G38" s="125"/>
      <c r="H38" s="126"/>
      <c r="I38" s="127">
        <v>31.0</v>
      </c>
      <c r="J38" s="126"/>
      <c r="K38" s="128" t="b">
        <v>1</v>
      </c>
      <c r="L38" s="128" t="b">
        <v>1</v>
      </c>
      <c r="M38" s="128" t="b">
        <v>1</v>
      </c>
      <c r="N38" s="128" t="b">
        <v>1</v>
      </c>
      <c r="O38" s="128" t="b">
        <v>1</v>
      </c>
      <c r="P38" s="128" t="b">
        <v>1</v>
      </c>
      <c r="Q38" s="128" t="b">
        <v>1</v>
      </c>
      <c r="R38" s="128" t="b">
        <v>1</v>
      </c>
      <c r="S38" s="128" t="b">
        <v>0</v>
      </c>
      <c r="T38" s="128" t="b">
        <v>0</v>
      </c>
      <c r="U38" s="129" t="b">
        <v>0</v>
      </c>
      <c r="V38" s="129" t="b">
        <v>0</v>
      </c>
      <c r="W38" s="129" t="b">
        <v>0</v>
      </c>
      <c r="X38" s="129" t="b">
        <v>0</v>
      </c>
      <c r="Y38" s="129" t="b">
        <v>0</v>
      </c>
      <c r="Z38" s="129" t="b">
        <v>0</v>
      </c>
      <c r="AA38" s="129" t="b">
        <v>0</v>
      </c>
      <c r="AB38" s="129" t="b">
        <v>0</v>
      </c>
      <c r="AC38" s="128" t="b">
        <v>0</v>
      </c>
      <c r="AD38" s="128" t="b">
        <v>0</v>
      </c>
      <c r="AE38" s="128" t="b">
        <v>0</v>
      </c>
      <c r="AF38" s="128" t="b">
        <v>0</v>
      </c>
      <c r="AG38" s="128" t="b">
        <v>0</v>
      </c>
      <c r="AH38" s="128" t="b">
        <v>0</v>
      </c>
      <c r="AI38" s="129" t="b">
        <v>0</v>
      </c>
      <c r="AJ38" s="128" t="b">
        <v>0</v>
      </c>
      <c r="AK38" s="129" t="b">
        <v>0</v>
      </c>
      <c r="AL38" s="128" t="b">
        <v>0</v>
      </c>
      <c r="AM38" s="130" t="b">
        <v>0</v>
      </c>
      <c r="AN38" s="1"/>
      <c r="AO38" s="1"/>
      <c r="AP38" s="131">
        <f t="shared" ref="AP38:AP62" si="12">IF(B38="","", COUNTIF(K38:AM38,TRUE))</f>
        <v>8</v>
      </c>
      <c r="AQ38" s="132">
        <f t="shared" ref="AQ38:AQ62" si="13">IF(B38="","",I38-AP38)</f>
        <v>23</v>
      </c>
      <c r="AR38" s="133">
        <f t="shared" ref="AR38:AR62" si="14">IF(B38="","",(AP38/AQ38))</f>
        <v>0.347826087</v>
      </c>
      <c r="AS38" s="134" t="str">
        <f>IFERROR(__xludf.DUMMYFUNCTION("IF(B38="""","""", SPARKLINE(AR38,{""CHARTTYPE"",""BAR"";""MAX"",1;""COLOR1"",""FAD5BE""}))"),"")</f>
        <v/>
      </c>
      <c r="AT38" s="135"/>
      <c r="AU38" s="135"/>
      <c r="AV38" s="135"/>
      <c r="AW38" s="136"/>
      <c r="AX38" s="137">
        <f t="shared" ref="AX38:AX62" si="15">IF(AR38="",0,AR38)</f>
        <v>0.347826087</v>
      </c>
      <c r="AY38" s="138"/>
      <c r="AZ38" s="138" t="str">
        <f t="array" ref="AZ38:BF62">SORT(B38:H62,AX38:AX62,FALSE)</f>
        <v>Drink 2–3 liters of water</v>
      </c>
      <c r="BA38" s="138"/>
      <c r="BB38" s="7"/>
      <c r="BC38" s="7"/>
      <c r="BD38" s="7"/>
      <c r="BE38" s="7"/>
      <c r="BF38" s="7"/>
      <c r="BG38" s="137">
        <f t="shared" ref="BG38:BG62" si="16">IFERROR(VLOOKUP(AZ38,$B$38:$AX$62,49,FALSE),"")
</f>
        <v>0.347826087</v>
      </c>
      <c r="BH38" s="7"/>
      <c r="BI38" s="7"/>
      <c r="BJ38" s="7"/>
      <c r="BK38" s="7"/>
      <c r="BL38" s="7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>
      <c r="A39" s="123">
        <v>2.0</v>
      </c>
      <c r="B39" s="124" t="s">
        <v>35</v>
      </c>
      <c r="C39" s="125"/>
      <c r="D39" s="125"/>
      <c r="E39" s="125"/>
      <c r="F39" s="125"/>
      <c r="G39" s="125"/>
      <c r="H39" s="126"/>
      <c r="I39" s="127">
        <v>31.0</v>
      </c>
      <c r="J39" s="126"/>
      <c r="K39" s="139" t="b">
        <v>1</v>
      </c>
      <c r="L39" s="128" t="b">
        <v>1</v>
      </c>
      <c r="M39" s="128" t="b">
        <v>1</v>
      </c>
      <c r="N39" s="128" t="b">
        <v>0</v>
      </c>
      <c r="O39" s="128" t="b">
        <v>1</v>
      </c>
      <c r="P39" s="128" t="b">
        <v>1</v>
      </c>
      <c r="Q39" s="128" t="b">
        <v>1</v>
      </c>
      <c r="R39" s="128" t="b">
        <v>1</v>
      </c>
      <c r="S39" s="129" t="b">
        <v>0</v>
      </c>
      <c r="T39" s="129" t="b">
        <v>0</v>
      </c>
      <c r="U39" s="129" t="b">
        <v>0</v>
      </c>
      <c r="V39" s="128" t="b">
        <v>0</v>
      </c>
      <c r="W39" s="129" t="b">
        <v>0</v>
      </c>
      <c r="X39" s="129" t="b">
        <v>0</v>
      </c>
      <c r="Y39" s="129" t="b">
        <v>0</v>
      </c>
      <c r="Z39" s="129" t="b">
        <v>0</v>
      </c>
      <c r="AA39" s="129" t="b">
        <v>0</v>
      </c>
      <c r="AB39" s="129" t="b">
        <v>0</v>
      </c>
      <c r="AC39" s="129" t="b">
        <v>0</v>
      </c>
      <c r="AD39" s="129" t="b">
        <v>0</v>
      </c>
      <c r="AE39" s="129" t="b">
        <v>0</v>
      </c>
      <c r="AF39" s="129" t="b">
        <v>0</v>
      </c>
      <c r="AG39" s="129" t="b">
        <v>0</v>
      </c>
      <c r="AH39" s="129" t="b">
        <v>0</v>
      </c>
      <c r="AI39" s="129" t="b">
        <v>0</v>
      </c>
      <c r="AJ39" s="129" t="b">
        <v>0</v>
      </c>
      <c r="AK39" s="129" t="b">
        <v>0</v>
      </c>
      <c r="AL39" s="129" t="b">
        <v>0</v>
      </c>
      <c r="AM39" s="140" t="b">
        <v>0</v>
      </c>
      <c r="AN39" s="1"/>
      <c r="AO39" s="1"/>
      <c r="AP39" s="131">
        <f t="shared" si="12"/>
        <v>7</v>
      </c>
      <c r="AQ39" s="132">
        <f t="shared" si="13"/>
        <v>24</v>
      </c>
      <c r="AR39" s="133">
        <f t="shared" si="14"/>
        <v>0.2916666667</v>
      </c>
      <c r="AS39" s="134" t="str">
        <f>IFERROR(__xludf.DUMMYFUNCTION("IF(B39="""","""", SPARKLINE(AR39,{""CHARTTYPE"",""BAR"";""MAX"",1;""COLOR1"",""FAD5BE""}))"),"")</f>
        <v/>
      </c>
      <c r="AT39" s="135"/>
      <c r="AU39" s="135"/>
      <c r="AV39" s="135"/>
      <c r="AW39" s="136"/>
      <c r="AX39" s="137">
        <f t="shared" si="15"/>
        <v>0.2916666667</v>
      </c>
      <c r="AY39" s="138"/>
      <c r="AZ39" s="141" t="s">
        <v>36</v>
      </c>
      <c r="BA39" s="138"/>
      <c r="BB39" s="7"/>
      <c r="BC39" s="7"/>
      <c r="BD39" s="7"/>
      <c r="BE39" s="7"/>
      <c r="BF39" s="7"/>
      <c r="BG39" s="137">
        <f t="shared" si="16"/>
        <v>0.3333333333</v>
      </c>
      <c r="BH39" s="7"/>
      <c r="BI39" s="7"/>
      <c r="BJ39" s="7"/>
      <c r="BK39" s="7"/>
      <c r="BL39" s="7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>
      <c r="A40" s="123">
        <v>3.0</v>
      </c>
      <c r="B40" s="142" t="s">
        <v>37</v>
      </c>
      <c r="C40" s="125"/>
      <c r="D40" s="125"/>
      <c r="E40" s="125"/>
      <c r="F40" s="125"/>
      <c r="G40" s="125"/>
      <c r="H40" s="126"/>
      <c r="I40" s="127">
        <v>10.0</v>
      </c>
      <c r="J40" s="126"/>
      <c r="K40" s="139" t="b">
        <v>0</v>
      </c>
      <c r="L40" s="128" t="b">
        <v>0</v>
      </c>
      <c r="M40" s="128" t="b">
        <v>1</v>
      </c>
      <c r="N40" s="128" t="b">
        <v>1</v>
      </c>
      <c r="O40" s="128" t="b">
        <v>0</v>
      </c>
      <c r="P40" s="128" t="b">
        <v>0</v>
      </c>
      <c r="Q40" s="128" t="b">
        <v>0</v>
      </c>
      <c r="R40" s="128" t="b">
        <v>0</v>
      </c>
      <c r="S40" s="129" t="b">
        <v>0</v>
      </c>
      <c r="T40" s="129" t="b">
        <v>0</v>
      </c>
      <c r="U40" s="128" t="b">
        <v>0</v>
      </c>
      <c r="V40" s="129" t="b">
        <v>0</v>
      </c>
      <c r="W40" s="129" t="b">
        <v>0</v>
      </c>
      <c r="X40" s="129" t="b">
        <v>0</v>
      </c>
      <c r="Y40" s="129" t="b">
        <v>0</v>
      </c>
      <c r="Z40" s="129" t="b">
        <v>0</v>
      </c>
      <c r="AA40" s="129" t="b">
        <v>0</v>
      </c>
      <c r="AB40" s="129" t="b">
        <v>0</v>
      </c>
      <c r="AC40" s="129" t="b">
        <v>0</v>
      </c>
      <c r="AD40" s="129" t="b">
        <v>0</v>
      </c>
      <c r="AE40" s="129" t="b">
        <v>0</v>
      </c>
      <c r="AF40" s="129" t="b">
        <v>0</v>
      </c>
      <c r="AG40" s="129" t="b">
        <v>0</v>
      </c>
      <c r="AH40" s="129" t="b">
        <v>0</v>
      </c>
      <c r="AI40" s="129" t="b">
        <v>0</v>
      </c>
      <c r="AJ40" s="129" t="b">
        <v>0</v>
      </c>
      <c r="AK40" s="129" t="b">
        <v>0</v>
      </c>
      <c r="AL40" s="129" t="b">
        <v>0</v>
      </c>
      <c r="AM40" s="140" t="b">
        <v>0</v>
      </c>
      <c r="AN40" s="1"/>
      <c r="AO40" s="1"/>
      <c r="AP40" s="131">
        <f t="shared" si="12"/>
        <v>2</v>
      </c>
      <c r="AQ40" s="132">
        <f t="shared" si="13"/>
        <v>8</v>
      </c>
      <c r="AR40" s="133">
        <f t="shared" si="14"/>
        <v>0.25</v>
      </c>
      <c r="AS40" s="134" t="str">
        <f>IFERROR(__xludf.DUMMYFUNCTION("IF(B40="""","""", SPARKLINE(AR40,{""CHARTTYPE"",""BAR"";""MAX"",1;""COLOR1"",""FAD5BE""}))"),"")</f>
        <v/>
      </c>
      <c r="AT40" s="135"/>
      <c r="AU40" s="135"/>
      <c r="AV40" s="135"/>
      <c r="AW40" s="136"/>
      <c r="AX40" s="137">
        <f t="shared" si="15"/>
        <v>0.25</v>
      </c>
      <c r="AY40" s="138"/>
      <c r="AZ40" s="138" t="s">
        <v>38</v>
      </c>
      <c r="BA40" s="138"/>
      <c r="BB40" s="7"/>
      <c r="BC40" s="7"/>
      <c r="BD40" s="7"/>
      <c r="BE40" s="7"/>
      <c r="BF40" s="7"/>
      <c r="BG40" s="137">
        <f t="shared" si="16"/>
        <v>0.3333333333</v>
      </c>
      <c r="BH40" s="7"/>
      <c r="BI40" s="7"/>
      <c r="BJ40" s="7"/>
      <c r="BK40" s="7"/>
      <c r="BL40" s="7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>
      <c r="A41" s="123">
        <v>4.0</v>
      </c>
      <c r="B41" s="124" t="s">
        <v>39</v>
      </c>
      <c r="C41" s="125"/>
      <c r="D41" s="125"/>
      <c r="E41" s="125"/>
      <c r="F41" s="125"/>
      <c r="G41" s="125"/>
      <c r="H41" s="126"/>
      <c r="I41" s="127">
        <v>31.0</v>
      </c>
      <c r="J41" s="126"/>
      <c r="K41" s="139" t="b">
        <v>1</v>
      </c>
      <c r="L41" s="128" t="b">
        <v>1</v>
      </c>
      <c r="M41" s="128" t="b">
        <v>0</v>
      </c>
      <c r="N41" s="128" t="b">
        <v>1</v>
      </c>
      <c r="O41" s="128" t="b">
        <v>1</v>
      </c>
      <c r="P41" s="128" t="b">
        <v>1</v>
      </c>
      <c r="Q41" s="128" t="b">
        <v>1</v>
      </c>
      <c r="R41" s="128" t="b">
        <v>1</v>
      </c>
      <c r="S41" s="129" t="b">
        <v>0</v>
      </c>
      <c r="T41" s="129" t="b">
        <v>0</v>
      </c>
      <c r="U41" s="129" t="b">
        <v>0</v>
      </c>
      <c r="V41" s="129" t="b">
        <v>0</v>
      </c>
      <c r="W41" s="129" t="b">
        <v>0</v>
      </c>
      <c r="X41" s="129" t="b">
        <v>0</v>
      </c>
      <c r="Y41" s="129" t="b">
        <v>0</v>
      </c>
      <c r="Z41" s="129" t="b">
        <v>0</v>
      </c>
      <c r="AA41" s="129" t="b">
        <v>0</v>
      </c>
      <c r="AB41" s="129" t="b">
        <v>0</v>
      </c>
      <c r="AC41" s="129" t="b">
        <v>0</v>
      </c>
      <c r="AD41" s="129" t="b">
        <v>0</v>
      </c>
      <c r="AE41" s="129" t="b">
        <v>0</v>
      </c>
      <c r="AF41" s="129" t="b">
        <v>0</v>
      </c>
      <c r="AG41" s="129" t="b">
        <v>0</v>
      </c>
      <c r="AH41" s="129" t="b">
        <v>0</v>
      </c>
      <c r="AI41" s="129" t="b">
        <v>0</v>
      </c>
      <c r="AJ41" s="129" t="b">
        <v>0</v>
      </c>
      <c r="AK41" s="129" t="b">
        <v>0</v>
      </c>
      <c r="AL41" s="129" t="b">
        <v>0</v>
      </c>
      <c r="AM41" s="140" t="b">
        <v>0</v>
      </c>
      <c r="AN41" s="1"/>
      <c r="AO41" s="1"/>
      <c r="AP41" s="131">
        <f t="shared" si="12"/>
        <v>7</v>
      </c>
      <c r="AQ41" s="132">
        <f t="shared" si="13"/>
        <v>24</v>
      </c>
      <c r="AR41" s="133">
        <f t="shared" si="14"/>
        <v>0.2916666667</v>
      </c>
      <c r="AS41" s="134" t="str">
        <f>IFERROR(__xludf.DUMMYFUNCTION("IF(B41="""","""", SPARKLINE(AR41,{""CHARTTYPE"",""BAR"";""MAX"",1;""COLOR1"",""FAD5BE""}))"),"")</f>
        <v/>
      </c>
      <c r="AT41" s="135"/>
      <c r="AU41" s="135"/>
      <c r="AV41" s="135"/>
      <c r="AW41" s="136"/>
      <c r="AX41" s="137">
        <f t="shared" si="15"/>
        <v>0.2916666667</v>
      </c>
      <c r="AY41" s="138"/>
      <c r="AZ41" s="138" t="s">
        <v>35</v>
      </c>
      <c r="BA41" s="138"/>
      <c r="BB41" s="7"/>
      <c r="BC41" s="7"/>
      <c r="BD41" s="7"/>
      <c r="BE41" s="7"/>
      <c r="BF41" s="7"/>
      <c r="BG41" s="137">
        <f t="shared" si="16"/>
        <v>0.2916666667</v>
      </c>
      <c r="BH41" s="7"/>
      <c r="BI41" s="7"/>
      <c r="BJ41" s="7"/>
      <c r="BK41" s="7"/>
      <c r="BL41" s="7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>
      <c r="A42" s="123">
        <v>5.0</v>
      </c>
      <c r="B42" s="124" t="s">
        <v>40</v>
      </c>
      <c r="C42" s="125"/>
      <c r="D42" s="125"/>
      <c r="E42" s="125"/>
      <c r="F42" s="125"/>
      <c r="G42" s="125"/>
      <c r="H42" s="126"/>
      <c r="I42" s="127">
        <v>31.0</v>
      </c>
      <c r="J42" s="126"/>
      <c r="K42" s="139" t="b">
        <v>1</v>
      </c>
      <c r="L42" s="128" t="b">
        <v>1</v>
      </c>
      <c r="M42" s="128" t="b">
        <v>1</v>
      </c>
      <c r="N42" s="128" t="b">
        <v>1</v>
      </c>
      <c r="O42" s="128" t="b">
        <v>1</v>
      </c>
      <c r="P42" s="128" t="b">
        <v>1</v>
      </c>
      <c r="Q42" s="128" t="b">
        <v>1</v>
      </c>
      <c r="R42" s="128" t="b">
        <v>0</v>
      </c>
      <c r="S42" s="129" t="b">
        <v>0</v>
      </c>
      <c r="T42" s="128" t="b">
        <v>0</v>
      </c>
      <c r="U42" s="129" t="b">
        <v>0</v>
      </c>
      <c r="V42" s="129" t="b">
        <v>0</v>
      </c>
      <c r="W42" s="128" t="b">
        <v>0</v>
      </c>
      <c r="X42" s="129" t="b">
        <v>0</v>
      </c>
      <c r="Y42" s="128" t="b">
        <v>0</v>
      </c>
      <c r="Z42" s="129" t="b">
        <v>0</v>
      </c>
      <c r="AA42" s="128" t="b">
        <v>0</v>
      </c>
      <c r="AB42" s="129" t="b">
        <v>0</v>
      </c>
      <c r="AC42" s="129" t="b">
        <v>0</v>
      </c>
      <c r="AD42" s="128" t="b">
        <v>0</v>
      </c>
      <c r="AE42" s="129" t="b">
        <v>0</v>
      </c>
      <c r="AF42" s="129" t="b">
        <v>0</v>
      </c>
      <c r="AG42" s="129" t="b">
        <v>0</v>
      </c>
      <c r="AH42" s="128" t="b">
        <v>0</v>
      </c>
      <c r="AI42" s="128" t="b">
        <v>0</v>
      </c>
      <c r="AJ42" s="129" t="b">
        <v>0</v>
      </c>
      <c r="AK42" s="129" t="b">
        <v>0</v>
      </c>
      <c r="AL42" s="129" t="b">
        <v>0</v>
      </c>
      <c r="AM42" s="130" t="b">
        <v>0</v>
      </c>
      <c r="AN42" s="1"/>
      <c r="AO42" s="1"/>
      <c r="AP42" s="131">
        <f t="shared" si="12"/>
        <v>7</v>
      </c>
      <c r="AQ42" s="132">
        <f t="shared" si="13"/>
        <v>24</v>
      </c>
      <c r="AR42" s="133">
        <f t="shared" si="14"/>
        <v>0.2916666667</v>
      </c>
      <c r="AS42" s="134" t="str">
        <f>IFERROR(__xludf.DUMMYFUNCTION("IF(B42="""","""", SPARKLINE(AR42,{""CHARTTYPE"",""BAR"";""MAX"",1;""COLOR1"",""FAD5BE""}))"),"")</f>
        <v/>
      </c>
      <c r="AT42" s="135"/>
      <c r="AU42" s="135"/>
      <c r="AV42" s="135"/>
      <c r="AW42" s="136"/>
      <c r="AX42" s="137">
        <f t="shared" si="15"/>
        <v>0.2916666667</v>
      </c>
      <c r="AY42" s="138"/>
      <c r="AZ42" s="138" t="s">
        <v>39</v>
      </c>
      <c r="BA42" s="138"/>
      <c r="BB42" s="7"/>
      <c r="BC42" s="7"/>
      <c r="BD42" s="7"/>
      <c r="BE42" s="7"/>
      <c r="BF42" s="7"/>
      <c r="BG42" s="137">
        <f t="shared" si="16"/>
        <v>0.2916666667</v>
      </c>
      <c r="BH42" s="7"/>
      <c r="BI42" s="7"/>
      <c r="BJ42" s="7"/>
      <c r="BK42" s="7"/>
      <c r="BL42" s="7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>
      <c r="A43" s="123">
        <v>6.0</v>
      </c>
      <c r="B43" s="142" t="s">
        <v>41</v>
      </c>
      <c r="C43" s="125"/>
      <c r="D43" s="125"/>
      <c r="E43" s="125"/>
      <c r="F43" s="125"/>
      <c r="G43" s="125"/>
      <c r="H43" s="126"/>
      <c r="I43" s="127">
        <v>31.0</v>
      </c>
      <c r="J43" s="126"/>
      <c r="K43" s="139" t="b">
        <v>1</v>
      </c>
      <c r="L43" s="128" t="b">
        <v>1</v>
      </c>
      <c r="M43" s="128" t="b">
        <v>1</v>
      </c>
      <c r="N43" s="128" t="b">
        <v>1</v>
      </c>
      <c r="O43" s="128" t="b">
        <v>1</v>
      </c>
      <c r="P43" s="128" t="b">
        <v>1</v>
      </c>
      <c r="Q43" s="128" t="b">
        <v>1</v>
      </c>
      <c r="R43" s="128" t="b">
        <v>0</v>
      </c>
      <c r="S43" s="129" t="b">
        <v>0</v>
      </c>
      <c r="T43" s="129" t="b">
        <v>0</v>
      </c>
      <c r="U43" s="129" t="b">
        <v>0</v>
      </c>
      <c r="V43" s="129" t="b">
        <v>0</v>
      </c>
      <c r="W43" s="129" t="b">
        <v>0</v>
      </c>
      <c r="X43" s="129" t="b">
        <v>0</v>
      </c>
      <c r="Y43" s="129" t="b">
        <v>0</v>
      </c>
      <c r="Z43" s="129" t="b">
        <v>0</v>
      </c>
      <c r="AA43" s="129" t="b">
        <v>0</v>
      </c>
      <c r="AB43" s="129" t="b">
        <v>0</v>
      </c>
      <c r="AC43" s="129" t="b">
        <v>0</v>
      </c>
      <c r="AD43" s="129" t="b">
        <v>0</v>
      </c>
      <c r="AE43" s="129" t="b">
        <v>0</v>
      </c>
      <c r="AF43" s="129" t="b">
        <v>0</v>
      </c>
      <c r="AG43" s="129" t="b">
        <v>0</v>
      </c>
      <c r="AH43" s="129" t="b">
        <v>0</v>
      </c>
      <c r="AI43" s="129" t="b">
        <v>0</v>
      </c>
      <c r="AJ43" s="129" t="b">
        <v>0</v>
      </c>
      <c r="AK43" s="129" t="b">
        <v>0</v>
      </c>
      <c r="AL43" s="129" t="b">
        <v>0</v>
      </c>
      <c r="AM43" s="140" t="b">
        <v>0</v>
      </c>
      <c r="AN43" s="1"/>
      <c r="AO43" s="1"/>
      <c r="AP43" s="131">
        <f t="shared" si="12"/>
        <v>7</v>
      </c>
      <c r="AQ43" s="132">
        <f t="shared" si="13"/>
        <v>24</v>
      </c>
      <c r="AR43" s="133">
        <f t="shared" si="14"/>
        <v>0.2916666667</v>
      </c>
      <c r="AS43" s="134" t="str">
        <f>IFERROR(__xludf.DUMMYFUNCTION("IF(B43="""","""", SPARKLINE(AR43,{""CHARTTYPE"",""BAR"";""MAX"",1;""COLOR1"",""FAD5BE""}))"),"")</f>
        <v/>
      </c>
      <c r="AT43" s="135"/>
      <c r="AU43" s="135"/>
      <c r="AV43" s="135"/>
      <c r="AW43" s="136"/>
      <c r="AX43" s="137">
        <f t="shared" si="15"/>
        <v>0.2916666667</v>
      </c>
      <c r="AY43" s="138"/>
      <c r="AZ43" s="138" t="s">
        <v>40</v>
      </c>
      <c r="BA43" s="138"/>
      <c r="BB43" s="7"/>
      <c r="BC43" s="7"/>
      <c r="BD43" s="7"/>
      <c r="BE43" s="7"/>
      <c r="BF43" s="7"/>
      <c r="BG43" s="137">
        <f t="shared" si="16"/>
        <v>0.2916666667</v>
      </c>
      <c r="BH43" s="7"/>
      <c r="BI43" s="7"/>
      <c r="BJ43" s="7"/>
      <c r="BK43" s="7"/>
      <c r="BL43" s="7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>
      <c r="A44" s="123">
        <v>7.0</v>
      </c>
      <c r="B44" s="124" t="s">
        <v>42</v>
      </c>
      <c r="C44" s="125"/>
      <c r="D44" s="125"/>
      <c r="E44" s="125"/>
      <c r="F44" s="125"/>
      <c r="G44" s="125"/>
      <c r="H44" s="126"/>
      <c r="I44" s="127">
        <v>31.0</v>
      </c>
      <c r="J44" s="126"/>
      <c r="K44" s="139" t="b">
        <v>1</v>
      </c>
      <c r="L44" s="128" t="b">
        <v>1</v>
      </c>
      <c r="M44" s="128" t="b">
        <v>1</v>
      </c>
      <c r="N44" s="128" t="b">
        <v>1</v>
      </c>
      <c r="O44" s="128" t="b">
        <v>1</v>
      </c>
      <c r="P44" s="128" t="b">
        <v>1</v>
      </c>
      <c r="Q44" s="128" t="b">
        <v>1</v>
      </c>
      <c r="R44" s="128" t="b">
        <v>0</v>
      </c>
      <c r="S44" s="129" t="b">
        <v>0</v>
      </c>
      <c r="T44" s="129" t="b">
        <v>0</v>
      </c>
      <c r="U44" s="128" t="b">
        <v>0</v>
      </c>
      <c r="V44" s="129" t="b">
        <v>0</v>
      </c>
      <c r="W44" s="129" t="b">
        <v>0</v>
      </c>
      <c r="X44" s="129" t="b">
        <v>0</v>
      </c>
      <c r="Y44" s="129" t="b">
        <v>0</v>
      </c>
      <c r="Z44" s="129" t="b">
        <v>0</v>
      </c>
      <c r="AA44" s="129" t="b">
        <v>0</v>
      </c>
      <c r="AB44" s="129" t="b">
        <v>0</v>
      </c>
      <c r="AC44" s="129" t="b">
        <v>0</v>
      </c>
      <c r="AD44" s="129" t="b">
        <v>0</v>
      </c>
      <c r="AE44" s="129" t="b">
        <v>0</v>
      </c>
      <c r="AF44" s="129" t="b">
        <v>0</v>
      </c>
      <c r="AG44" s="129" t="b">
        <v>0</v>
      </c>
      <c r="AH44" s="129" t="b">
        <v>0</v>
      </c>
      <c r="AI44" s="129" t="b">
        <v>0</v>
      </c>
      <c r="AJ44" s="129" t="b">
        <v>0</v>
      </c>
      <c r="AK44" s="129" t="b">
        <v>0</v>
      </c>
      <c r="AL44" s="129" t="b">
        <v>0</v>
      </c>
      <c r="AM44" s="130" t="b">
        <v>0</v>
      </c>
      <c r="AN44" s="1"/>
      <c r="AO44" s="1"/>
      <c r="AP44" s="131">
        <f t="shared" si="12"/>
        <v>7</v>
      </c>
      <c r="AQ44" s="132">
        <f t="shared" si="13"/>
        <v>24</v>
      </c>
      <c r="AR44" s="133">
        <f t="shared" si="14"/>
        <v>0.2916666667</v>
      </c>
      <c r="AS44" s="134" t="str">
        <f>IFERROR(__xludf.DUMMYFUNCTION("IF(B44="""","""", SPARKLINE(AR44,{""CHARTTYPE"",""BAR"";""MAX"",1;""COLOR1"",""FAD5BE""}))"),"")</f>
        <v/>
      </c>
      <c r="AT44" s="135"/>
      <c r="AU44" s="135"/>
      <c r="AV44" s="135"/>
      <c r="AW44" s="136"/>
      <c r="AX44" s="137">
        <f t="shared" si="15"/>
        <v>0.2916666667</v>
      </c>
      <c r="AY44" s="138"/>
      <c r="AZ44" s="138" t="s">
        <v>41</v>
      </c>
      <c r="BA44" s="138"/>
      <c r="BB44" s="7"/>
      <c r="BC44" s="7"/>
      <c r="BD44" s="7"/>
      <c r="BE44" s="7"/>
      <c r="BF44" s="7"/>
      <c r="BG44" s="137">
        <f t="shared" si="16"/>
        <v>0.2916666667</v>
      </c>
      <c r="BH44" s="7"/>
      <c r="BI44" s="7"/>
      <c r="BJ44" s="7"/>
      <c r="BK44" s="7"/>
      <c r="BL44" s="7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>
      <c r="A45" s="123">
        <v>8.0</v>
      </c>
      <c r="B45" s="124" t="s">
        <v>43</v>
      </c>
      <c r="C45" s="125"/>
      <c r="D45" s="125"/>
      <c r="E45" s="125"/>
      <c r="F45" s="125"/>
      <c r="G45" s="125"/>
      <c r="H45" s="126"/>
      <c r="I45" s="127">
        <v>25.0</v>
      </c>
      <c r="J45" s="126"/>
      <c r="K45" s="139" t="b">
        <v>1</v>
      </c>
      <c r="L45" s="128" t="b">
        <v>1</v>
      </c>
      <c r="M45" s="128" t="b">
        <v>0</v>
      </c>
      <c r="N45" s="128" t="b">
        <v>0</v>
      </c>
      <c r="O45" s="128" t="b">
        <v>1</v>
      </c>
      <c r="P45" s="128" t="b">
        <v>1</v>
      </c>
      <c r="Q45" s="128" t="b">
        <v>1</v>
      </c>
      <c r="R45" s="128" t="b">
        <v>0</v>
      </c>
      <c r="S45" s="128" t="b">
        <v>0</v>
      </c>
      <c r="T45" s="128" t="b">
        <v>0</v>
      </c>
      <c r="U45" s="128" t="b">
        <v>0</v>
      </c>
      <c r="V45" s="129" t="b">
        <v>0</v>
      </c>
      <c r="W45" s="129" t="b">
        <v>0</v>
      </c>
      <c r="X45" s="129" t="b">
        <v>0</v>
      </c>
      <c r="Y45" s="129" t="b">
        <v>0</v>
      </c>
      <c r="Z45" s="129" t="b">
        <v>0</v>
      </c>
      <c r="AA45" s="129" t="b">
        <v>0</v>
      </c>
      <c r="AB45" s="129" t="b">
        <v>0</v>
      </c>
      <c r="AC45" s="129" t="b">
        <v>0</v>
      </c>
      <c r="AD45" s="129" t="b">
        <v>0</v>
      </c>
      <c r="AE45" s="129" t="b">
        <v>0</v>
      </c>
      <c r="AF45" s="129" t="b">
        <v>0</v>
      </c>
      <c r="AG45" s="129" t="b">
        <v>0</v>
      </c>
      <c r="AH45" s="129" t="b">
        <v>0</v>
      </c>
      <c r="AI45" s="129" t="b">
        <v>0</v>
      </c>
      <c r="AJ45" s="129" t="b">
        <v>0</v>
      </c>
      <c r="AK45" s="129" t="b">
        <v>0</v>
      </c>
      <c r="AL45" s="129" t="b">
        <v>0</v>
      </c>
      <c r="AM45" s="130" t="b">
        <v>0</v>
      </c>
      <c r="AN45" s="1"/>
      <c r="AO45" s="1"/>
      <c r="AP45" s="131">
        <f t="shared" si="12"/>
        <v>5</v>
      </c>
      <c r="AQ45" s="132">
        <f t="shared" si="13"/>
        <v>20</v>
      </c>
      <c r="AR45" s="133">
        <f t="shared" si="14"/>
        <v>0.25</v>
      </c>
      <c r="AS45" s="134" t="str">
        <f>IFERROR(__xludf.DUMMYFUNCTION("IF(B45="""","""", SPARKLINE(AR45,{""CHARTTYPE"",""BAR"";""MAX"",1;""COLOR1"",""FAD5BE""}))"),"")</f>
        <v/>
      </c>
      <c r="AT45" s="135"/>
      <c r="AU45" s="135"/>
      <c r="AV45" s="135"/>
      <c r="AW45" s="136"/>
      <c r="AX45" s="137">
        <f t="shared" si="15"/>
        <v>0.25</v>
      </c>
      <c r="AY45" s="138"/>
      <c r="AZ45" s="138" t="s">
        <v>42</v>
      </c>
      <c r="BA45" s="138"/>
      <c r="BB45" s="7"/>
      <c r="BC45" s="7"/>
      <c r="BD45" s="7"/>
      <c r="BE45" s="7"/>
      <c r="BF45" s="7"/>
      <c r="BG45" s="137">
        <f t="shared" si="16"/>
        <v>0.2916666667</v>
      </c>
      <c r="BH45" s="7"/>
      <c r="BI45" s="7"/>
      <c r="BJ45" s="7"/>
      <c r="BK45" s="7"/>
      <c r="BL45" s="7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>
      <c r="A46" s="123">
        <v>9.0</v>
      </c>
      <c r="B46" s="142" t="s">
        <v>44</v>
      </c>
      <c r="C46" s="125"/>
      <c r="D46" s="125"/>
      <c r="E46" s="125"/>
      <c r="F46" s="125"/>
      <c r="G46" s="125"/>
      <c r="H46" s="126"/>
      <c r="I46" s="127">
        <v>31.0</v>
      </c>
      <c r="J46" s="126"/>
      <c r="K46" s="139" t="b">
        <v>1</v>
      </c>
      <c r="L46" s="128" t="b">
        <v>1</v>
      </c>
      <c r="M46" s="128" t="b">
        <v>1</v>
      </c>
      <c r="N46" s="128" t="b">
        <v>1</v>
      </c>
      <c r="O46" s="128" t="b">
        <v>1</v>
      </c>
      <c r="P46" s="128" t="b">
        <v>1</v>
      </c>
      <c r="Q46" s="128" t="b">
        <v>1</v>
      </c>
      <c r="R46" s="128" t="b">
        <v>0</v>
      </c>
      <c r="S46" s="129" t="b">
        <v>0</v>
      </c>
      <c r="T46" s="129" t="b">
        <v>0</v>
      </c>
      <c r="U46" s="129" t="b">
        <v>0</v>
      </c>
      <c r="V46" s="129" t="b">
        <v>0</v>
      </c>
      <c r="W46" s="129" t="b">
        <v>0</v>
      </c>
      <c r="X46" s="129" t="b">
        <v>0</v>
      </c>
      <c r="Y46" s="129" t="b">
        <v>0</v>
      </c>
      <c r="Z46" s="129" t="b">
        <v>0</v>
      </c>
      <c r="AA46" s="129" t="b">
        <v>0</v>
      </c>
      <c r="AB46" s="129" t="b">
        <v>0</v>
      </c>
      <c r="AC46" s="129" t="b">
        <v>0</v>
      </c>
      <c r="AD46" s="129" t="b">
        <v>0</v>
      </c>
      <c r="AE46" s="129" t="b">
        <v>0</v>
      </c>
      <c r="AF46" s="129" t="b">
        <v>0</v>
      </c>
      <c r="AG46" s="129" t="b">
        <v>0</v>
      </c>
      <c r="AH46" s="129" t="b">
        <v>0</v>
      </c>
      <c r="AI46" s="129" t="b">
        <v>0</v>
      </c>
      <c r="AJ46" s="129" t="b">
        <v>0</v>
      </c>
      <c r="AK46" s="129" t="b">
        <v>0</v>
      </c>
      <c r="AL46" s="129" t="b">
        <v>0</v>
      </c>
      <c r="AM46" s="130" t="b">
        <v>0</v>
      </c>
      <c r="AN46" s="1"/>
      <c r="AO46" s="1"/>
      <c r="AP46" s="131">
        <f t="shared" si="12"/>
        <v>7</v>
      </c>
      <c r="AQ46" s="132">
        <f t="shared" si="13"/>
        <v>24</v>
      </c>
      <c r="AR46" s="133">
        <f t="shared" si="14"/>
        <v>0.2916666667</v>
      </c>
      <c r="AS46" s="134" t="str">
        <f>IFERROR(__xludf.DUMMYFUNCTION("IF(B46="""","""", SPARKLINE(AR46,{""CHARTTYPE"",""BAR"";""MAX"",1;""COLOR1"",""FAD5BE""}))"),"")</f>
        <v/>
      </c>
      <c r="AT46" s="135"/>
      <c r="AU46" s="135"/>
      <c r="AV46" s="135"/>
      <c r="AW46" s="136"/>
      <c r="AX46" s="137">
        <f t="shared" si="15"/>
        <v>0.2916666667</v>
      </c>
      <c r="AY46" s="138"/>
      <c r="AZ46" s="138" t="s">
        <v>44</v>
      </c>
      <c r="BA46" s="138"/>
      <c r="BB46" s="7"/>
      <c r="BC46" s="7"/>
      <c r="BD46" s="7"/>
      <c r="BE46" s="7"/>
      <c r="BF46" s="7"/>
      <c r="BG46" s="137">
        <f t="shared" si="16"/>
        <v>0.2916666667</v>
      </c>
      <c r="BH46" s="7"/>
      <c r="BI46" s="7"/>
      <c r="BJ46" s="7"/>
      <c r="BK46" s="7"/>
      <c r="BL46" s="7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>
      <c r="A47" s="123">
        <v>10.0</v>
      </c>
      <c r="B47" s="124" t="s">
        <v>36</v>
      </c>
      <c r="C47" s="125"/>
      <c r="D47" s="125"/>
      <c r="E47" s="125"/>
      <c r="F47" s="125"/>
      <c r="G47" s="125"/>
      <c r="H47" s="126"/>
      <c r="I47" s="127">
        <v>4.0</v>
      </c>
      <c r="J47" s="126"/>
      <c r="K47" s="128" t="b">
        <v>0</v>
      </c>
      <c r="L47" s="128" t="b">
        <v>0</v>
      </c>
      <c r="M47" s="128" t="b">
        <v>0</v>
      </c>
      <c r="N47" s="128" t="b">
        <v>1</v>
      </c>
      <c r="O47" s="128" t="b">
        <v>0</v>
      </c>
      <c r="P47" s="128" t="b">
        <v>0</v>
      </c>
      <c r="Q47" s="128" t="b">
        <v>0</v>
      </c>
      <c r="R47" s="128" t="b">
        <v>0</v>
      </c>
      <c r="S47" s="128" t="b">
        <v>0</v>
      </c>
      <c r="T47" s="129" t="b">
        <v>0</v>
      </c>
      <c r="U47" s="129" t="b">
        <v>0</v>
      </c>
      <c r="V47" s="129" t="b">
        <v>0</v>
      </c>
      <c r="W47" s="129" t="b">
        <v>0</v>
      </c>
      <c r="X47" s="129" t="b">
        <v>0</v>
      </c>
      <c r="Y47" s="129" t="b">
        <v>0</v>
      </c>
      <c r="Z47" s="129" t="b">
        <v>0</v>
      </c>
      <c r="AA47" s="129" t="b">
        <v>0</v>
      </c>
      <c r="AB47" s="129" t="b">
        <v>0</v>
      </c>
      <c r="AC47" s="129" t="b">
        <v>0</v>
      </c>
      <c r="AD47" s="129" t="b">
        <v>0</v>
      </c>
      <c r="AE47" s="129" t="b">
        <v>0</v>
      </c>
      <c r="AF47" s="129" t="b">
        <v>0</v>
      </c>
      <c r="AG47" s="129" t="b">
        <v>0</v>
      </c>
      <c r="AH47" s="129" t="b">
        <v>0</v>
      </c>
      <c r="AI47" s="129" t="b">
        <v>0</v>
      </c>
      <c r="AJ47" s="129" t="b">
        <v>0</v>
      </c>
      <c r="AK47" s="129" t="b">
        <v>0</v>
      </c>
      <c r="AL47" s="129" t="b">
        <v>0</v>
      </c>
      <c r="AM47" s="140" t="b">
        <v>0</v>
      </c>
      <c r="AN47" s="1"/>
      <c r="AO47" s="1"/>
      <c r="AP47" s="131">
        <f t="shared" si="12"/>
        <v>1</v>
      </c>
      <c r="AQ47" s="132">
        <f t="shared" si="13"/>
        <v>3</v>
      </c>
      <c r="AR47" s="133">
        <f t="shared" si="14"/>
        <v>0.3333333333</v>
      </c>
      <c r="AS47" s="134" t="str">
        <f>IFERROR(__xludf.DUMMYFUNCTION("IF(B47="""","""", SPARKLINE(AR47,{""CHARTTYPE"",""BAR"";""MAX"",1;""COLOR1"",""FAD5BE""}))"),"")</f>
        <v/>
      </c>
      <c r="AT47" s="135"/>
      <c r="AU47" s="135"/>
      <c r="AV47" s="135"/>
      <c r="AW47" s="136"/>
      <c r="AX47" s="137">
        <f t="shared" si="15"/>
        <v>0.3333333333</v>
      </c>
      <c r="AY47" s="138"/>
      <c r="AZ47" s="138" t="s">
        <v>45</v>
      </c>
      <c r="BA47" s="138"/>
      <c r="BB47" s="7"/>
      <c r="BC47" s="7"/>
      <c r="BD47" s="7"/>
      <c r="BE47" s="7"/>
      <c r="BF47" s="7"/>
      <c r="BG47" s="137">
        <f t="shared" si="16"/>
        <v>0.2916666667</v>
      </c>
      <c r="BH47" s="7"/>
      <c r="BI47" s="7"/>
      <c r="BJ47" s="7"/>
      <c r="BK47" s="7"/>
      <c r="BL47" s="7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>
      <c r="A48" s="123">
        <v>11.0</v>
      </c>
      <c r="B48" s="124" t="s">
        <v>46</v>
      </c>
      <c r="C48" s="125"/>
      <c r="D48" s="125"/>
      <c r="E48" s="125"/>
      <c r="F48" s="125"/>
      <c r="G48" s="125"/>
      <c r="H48" s="126"/>
      <c r="I48" s="127">
        <v>25.0</v>
      </c>
      <c r="J48" s="126"/>
      <c r="K48" s="128" t="b">
        <v>1</v>
      </c>
      <c r="L48" s="128" t="b">
        <v>1</v>
      </c>
      <c r="M48" s="128" t="b">
        <v>0</v>
      </c>
      <c r="N48" s="128" t="b">
        <v>0</v>
      </c>
      <c r="O48" s="128" t="b">
        <v>1</v>
      </c>
      <c r="P48" s="128" t="b">
        <v>1</v>
      </c>
      <c r="Q48" s="128" t="b">
        <v>1</v>
      </c>
      <c r="R48" s="128" t="b">
        <v>0</v>
      </c>
      <c r="S48" s="129" t="b">
        <v>0</v>
      </c>
      <c r="T48" s="129" t="b">
        <v>0</v>
      </c>
      <c r="U48" s="129" t="b">
        <v>0</v>
      </c>
      <c r="V48" s="129" t="b">
        <v>0</v>
      </c>
      <c r="W48" s="129" t="b">
        <v>0</v>
      </c>
      <c r="X48" s="129" t="b">
        <v>0</v>
      </c>
      <c r="Y48" s="129" t="b">
        <v>0</v>
      </c>
      <c r="Z48" s="129" t="b">
        <v>0</v>
      </c>
      <c r="AA48" s="129" t="b">
        <v>0</v>
      </c>
      <c r="AB48" s="129" t="b">
        <v>0</v>
      </c>
      <c r="AC48" s="129" t="b">
        <v>0</v>
      </c>
      <c r="AD48" s="129" t="b">
        <v>0</v>
      </c>
      <c r="AE48" s="129" t="b">
        <v>0</v>
      </c>
      <c r="AF48" s="129" t="b">
        <v>0</v>
      </c>
      <c r="AG48" s="129" t="b">
        <v>0</v>
      </c>
      <c r="AH48" s="129" t="b">
        <v>0</v>
      </c>
      <c r="AI48" s="129" t="b">
        <v>0</v>
      </c>
      <c r="AJ48" s="129" t="b">
        <v>0</v>
      </c>
      <c r="AK48" s="129" t="b">
        <v>0</v>
      </c>
      <c r="AL48" s="129" t="b">
        <v>0</v>
      </c>
      <c r="AM48" s="140" t="b">
        <v>0</v>
      </c>
      <c r="AN48" s="1"/>
      <c r="AO48" s="1"/>
      <c r="AP48" s="131">
        <f t="shared" si="12"/>
        <v>5</v>
      </c>
      <c r="AQ48" s="132">
        <f t="shared" si="13"/>
        <v>20</v>
      </c>
      <c r="AR48" s="133">
        <f t="shared" si="14"/>
        <v>0.25</v>
      </c>
      <c r="AS48" s="134" t="str">
        <f>IFERROR(__xludf.DUMMYFUNCTION("IF(B48="""","""", SPARKLINE(AR48,{""CHARTTYPE"",""BAR"";""MAX"",1;""COLOR1"",""FAD5BE""}))"),"")</f>
        <v/>
      </c>
      <c r="AT48" s="135"/>
      <c r="AU48" s="135"/>
      <c r="AV48" s="135"/>
      <c r="AW48" s="136"/>
      <c r="AX48" s="137">
        <f t="shared" si="15"/>
        <v>0.25</v>
      </c>
      <c r="AY48" s="138"/>
      <c r="AZ48" s="138" t="s">
        <v>47</v>
      </c>
      <c r="BA48" s="138"/>
      <c r="BB48" s="7"/>
      <c r="BC48" s="7"/>
      <c r="BD48" s="7"/>
      <c r="BE48" s="7"/>
      <c r="BF48" s="7"/>
      <c r="BG48" s="137">
        <f t="shared" si="16"/>
        <v>0.2916666667</v>
      </c>
      <c r="BH48" s="7"/>
      <c r="BI48" s="7"/>
      <c r="BJ48" s="7"/>
      <c r="BK48" s="7"/>
      <c r="BL48" s="7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>
      <c r="A49" s="123">
        <v>12.0</v>
      </c>
      <c r="B49" s="142" t="s">
        <v>48</v>
      </c>
      <c r="C49" s="125"/>
      <c r="D49" s="125"/>
      <c r="E49" s="125"/>
      <c r="F49" s="125"/>
      <c r="G49" s="125"/>
      <c r="H49" s="126"/>
      <c r="I49" s="127">
        <v>20.0</v>
      </c>
      <c r="J49" s="126"/>
      <c r="K49" s="139" t="b">
        <v>0</v>
      </c>
      <c r="L49" s="128" t="b">
        <v>1</v>
      </c>
      <c r="M49" s="128" t="b">
        <v>0</v>
      </c>
      <c r="N49" s="128" t="b">
        <v>1</v>
      </c>
      <c r="O49" s="129" t="b">
        <v>0</v>
      </c>
      <c r="P49" s="129" t="b">
        <v>0</v>
      </c>
      <c r="Q49" s="128" t="b">
        <v>0</v>
      </c>
      <c r="R49" s="128" t="b">
        <v>0</v>
      </c>
      <c r="S49" s="129" t="b">
        <v>0</v>
      </c>
      <c r="T49" s="129" t="b">
        <v>0</v>
      </c>
      <c r="U49" s="129" t="b">
        <v>0</v>
      </c>
      <c r="V49" s="129" t="b">
        <v>0</v>
      </c>
      <c r="W49" s="129" t="b">
        <v>0</v>
      </c>
      <c r="X49" s="129" t="b">
        <v>0</v>
      </c>
      <c r="Y49" s="129" t="b">
        <v>0</v>
      </c>
      <c r="Z49" s="129" t="b">
        <v>0</v>
      </c>
      <c r="AA49" s="129" t="b">
        <v>0</v>
      </c>
      <c r="AB49" s="129" t="b">
        <v>0</v>
      </c>
      <c r="AC49" s="129" t="b">
        <v>0</v>
      </c>
      <c r="AD49" s="129" t="b">
        <v>0</v>
      </c>
      <c r="AE49" s="129" t="b">
        <v>0</v>
      </c>
      <c r="AF49" s="129" t="b">
        <v>0</v>
      </c>
      <c r="AG49" s="129" t="b">
        <v>0</v>
      </c>
      <c r="AH49" s="129" t="b">
        <v>0</v>
      </c>
      <c r="AI49" s="129" t="b">
        <v>0</v>
      </c>
      <c r="AJ49" s="129" t="b">
        <v>0</v>
      </c>
      <c r="AK49" s="129" t="b">
        <v>0</v>
      </c>
      <c r="AL49" s="129" t="b">
        <v>0</v>
      </c>
      <c r="AM49" s="140" t="b">
        <v>0</v>
      </c>
      <c r="AN49" s="1"/>
      <c r="AO49" s="1"/>
      <c r="AP49" s="131">
        <f t="shared" si="12"/>
        <v>2</v>
      </c>
      <c r="AQ49" s="132">
        <f t="shared" si="13"/>
        <v>18</v>
      </c>
      <c r="AR49" s="133">
        <f t="shared" si="14"/>
        <v>0.1111111111</v>
      </c>
      <c r="AS49" s="134" t="str">
        <f>IFERROR(__xludf.DUMMYFUNCTION("IF(B49="""","""", SPARKLINE(AR49,{""CHARTTYPE"",""BAR"";""MAX"",1;""COLOR1"",""FAD5BE""}))"),"")</f>
        <v/>
      </c>
      <c r="AT49" s="135"/>
      <c r="AU49" s="135"/>
      <c r="AV49" s="135"/>
      <c r="AW49" s="136"/>
      <c r="AX49" s="137">
        <f t="shared" si="15"/>
        <v>0.1111111111</v>
      </c>
      <c r="AY49" s="138"/>
      <c r="AZ49" s="138" t="s">
        <v>37</v>
      </c>
      <c r="BA49" s="138"/>
      <c r="BB49" s="7"/>
      <c r="BC49" s="7"/>
      <c r="BD49" s="7"/>
      <c r="BE49" s="7"/>
      <c r="BF49" s="7"/>
      <c r="BG49" s="137">
        <f t="shared" si="16"/>
        <v>0.25</v>
      </c>
      <c r="BH49" s="7"/>
      <c r="BI49" s="7"/>
      <c r="BJ49" s="7"/>
      <c r="BK49" s="7"/>
      <c r="BL49" s="7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>
      <c r="A50" s="123">
        <v>13.0</v>
      </c>
      <c r="B50" s="124" t="s">
        <v>49</v>
      </c>
      <c r="C50" s="125"/>
      <c r="D50" s="125"/>
      <c r="E50" s="125"/>
      <c r="F50" s="125"/>
      <c r="G50" s="125"/>
      <c r="H50" s="126"/>
      <c r="I50" s="127">
        <v>12.0</v>
      </c>
      <c r="J50" s="126"/>
      <c r="K50" s="143" t="b">
        <v>0</v>
      </c>
      <c r="L50" s="129" t="b">
        <v>0</v>
      </c>
      <c r="M50" s="129" t="b">
        <v>0</v>
      </c>
      <c r="N50" s="128" t="b">
        <v>1</v>
      </c>
      <c r="O50" s="129" t="b">
        <v>0</v>
      </c>
      <c r="P50" s="129" t="b">
        <v>0</v>
      </c>
      <c r="Q50" s="128" t="b">
        <v>0</v>
      </c>
      <c r="R50" s="128" t="b">
        <v>0</v>
      </c>
      <c r="S50" s="128" t="b">
        <v>0</v>
      </c>
      <c r="T50" s="129" t="b">
        <v>0</v>
      </c>
      <c r="U50" s="129" t="b">
        <v>0</v>
      </c>
      <c r="V50" s="129" t="b">
        <v>0</v>
      </c>
      <c r="W50" s="129" t="b">
        <v>0</v>
      </c>
      <c r="X50" s="129" t="b">
        <v>0</v>
      </c>
      <c r="Y50" s="129" t="b">
        <v>0</v>
      </c>
      <c r="Z50" s="129" t="b">
        <v>0</v>
      </c>
      <c r="AA50" s="129" t="b">
        <v>0</v>
      </c>
      <c r="AB50" s="129" t="b">
        <v>0</v>
      </c>
      <c r="AC50" s="129" t="b">
        <v>0</v>
      </c>
      <c r="AD50" s="129" t="b">
        <v>0</v>
      </c>
      <c r="AE50" s="129" t="b">
        <v>0</v>
      </c>
      <c r="AF50" s="129" t="b">
        <v>0</v>
      </c>
      <c r="AG50" s="129" t="b">
        <v>0</v>
      </c>
      <c r="AH50" s="129" t="b">
        <v>0</v>
      </c>
      <c r="AI50" s="129" t="b">
        <v>0</v>
      </c>
      <c r="AJ50" s="129" t="b">
        <v>0</v>
      </c>
      <c r="AK50" s="129" t="b">
        <v>0</v>
      </c>
      <c r="AL50" s="129" t="b">
        <v>0</v>
      </c>
      <c r="AM50" s="140" t="b">
        <v>0</v>
      </c>
      <c r="AN50" s="1"/>
      <c r="AO50" s="1"/>
      <c r="AP50" s="131">
        <f t="shared" si="12"/>
        <v>1</v>
      </c>
      <c r="AQ50" s="132">
        <f t="shared" si="13"/>
        <v>11</v>
      </c>
      <c r="AR50" s="133">
        <f t="shared" si="14"/>
        <v>0.09090909091</v>
      </c>
      <c r="AS50" s="134" t="str">
        <f>IFERROR(__xludf.DUMMYFUNCTION("IF(B50="""","""", SPARKLINE(AR50,{""CHARTTYPE"",""BAR"";""MAX"",1;""COLOR1"",""FAD5BE""}))"),"")</f>
        <v/>
      </c>
      <c r="AT50" s="135"/>
      <c r="AU50" s="135"/>
      <c r="AV50" s="135"/>
      <c r="AW50" s="136"/>
      <c r="AX50" s="137">
        <f t="shared" si="15"/>
        <v>0.09090909091</v>
      </c>
      <c r="AY50" s="138"/>
      <c r="AZ50" s="138" t="s">
        <v>43</v>
      </c>
      <c r="BA50" s="138"/>
      <c r="BB50" s="7"/>
      <c r="BC50" s="7"/>
      <c r="BD50" s="7"/>
      <c r="BE50" s="7"/>
      <c r="BF50" s="7"/>
      <c r="BG50" s="137">
        <f t="shared" si="16"/>
        <v>0.25</v>
      </c>
      <c r="BH50" s="7"/>
      <c r="BI50" s="7"/>
      <c r="BJ50" s="7"/>
      <c r="BK50" s="7"/>
      <c r="BL50" s="7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>
      <c r="A51" s="123">
        <v>14.0</v>
      </c>
      <c r="B51" s="144" t="s">
        <v>50</v>
      </c>
      <c r="C51" s="114"/>
      <c r="D51" s="114"/>
      <c r="E51" s="114"/>
      <c r="F51" s="114"/>
      <c r="G51" s="114"/>
      <c r="H51" s="115"/>
      <c r="I51" s="127">
        <v>26.0</v>
      </c>
      <c r="J51" s="126"/>
      <c r="K51" s="139" t="b">
        <v>1</v>
      </c>
      <c r="L51" s="128" t="b">
        <v>0</v>
      </c>
      <c r="M51" s="128" t="b">
        <v>1</v>
      </c>
      <c r="N51" s="129" t="b">
        <v>0</v>
      </c>
      <c r="O51" s="128" t="b">
        <v>1</v>
      </c>
      <c r="P51" s="129" t="b">
        <v>0</v>
      </c>
      <c r="Q51" s="128" t="b">
        <v>1</v>
      </c>
      <c r="R51" s="128" t="b">
        <v>0</v>
      </c>
      <c r="S51" s="129" t="b">
        <v>0</v>
      </c>
      <c r="T51" s="129" t="b">
        <v>0</v>
      </c>
      <c r="U51" s="129" t="b">
        <v>0</v>
      </c>
      <c r="V51" s="129" t="b">
        <v>0</v>
      </c>
      <c r="W51" s="129" t="b">
        <v>0</v>
      </c>
      <c r="X51" s="129" t="b">
        <v>0</v>
      </c>
      <c r="Y51" s="129" t="b">
        <v>0</v>
      </c>
      <c r="Z51" s="129" t="b">
        <v>0</v>
      </c>
      <c r="AA51" s="129" t="b">
        <v>0</v>
      </c>
      <c r="AB51" s="129" t="b">
        <v>0</v>
      </c>
      <c r="AC51" s="129" t="b">
        <v>0</v>
      </c>
      <c r="AD51" s="129" t="b">
        <v>0</v>
      </c>
      <c r="AE51" s="129" t="b">
        <v>0</v>
      </c>
      <c r="AF51" s="129" t="b">
        <v>0</v>
      </c>
      <c r="AG51" s="129" t="b">
        <v>0</v>
      </c>
      <c r="AH51" s="129" t="b">
        <v>0</v>
      </c>
      <c r="AI51" s="129" t="b">
        <v>0</v>
      </c>
      <c r="AJ51" s="129" t="b">
        <v>0</v>
      </c>
      <c r="AK51" s="129" t="b">
        <v>0</v>
      </c>
      <c r="AL51" s="129" t="b">
        <v>0</v>
      </c>
      <c r="AM51" s="140" t="b">
        <v>0</v>
      </c>
      <c r="AN51" s="1"/>
      <c r="AO51" s="1"/>
      <c r="AP51" s="131">
        <f t="shared" si="12"/>
        <v>4</v>
      </c>
      <c r="AQ51" s="132">
        <f t="shared" si="13"/>
        <v>22</v>
      </c>
      <c r="AR51" s="133">
        <f t="shared" si="14"/>
        <v>0.1818181818</v>
      </c>
      <c r="AS51" s="134" t="str">
        <f>IFERROR(__xludf.DUMMYFUNCTION("IF(B51="""","""", SPARKLINE(AR51,{""CHARTTYPE"",""BAR"";""MAX"",1;""COLOR1"",""FAD5BE""}))"),"")</f>
        <v/>
      </c>
      <c r="AT51" s="135"/>
      <c r="AU51" s="135"/>
      <c r="AV51" s="135"/>
      <c r="AW51" s="136"/>
      <c r="AX51" s="137">
        <f t="shared" si="15"/>
        <v>0.1818181818</v>
      </c>
      <c r="AY51" s="138"/>
      <c r="AZ51" s="138" t="s">
        <v>46</v>
      </c>
      <c r="BA51" s="138"/>
      <c r="BB51" s="7"/>
      <c r="BC51" s="7"/>
      <c r="BD51" s="7"/>
      <c r="BE51" s="7"/>
      <c r="BF51" s="7"/>
      <c r="BG51" s="137">
        <f t="shared" si="16"/>
        <v>0.25</v>
      </c>
      <c r="BH51" s="7"/>
      <c r="BI51" s="7"/>
      <c r="BJ51" s="7"/>
      <c r="BK51" s="7"/>
      <c r="BL51" s="7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>
      <c r="A52" s="123">
        <v>15.0</v>
      </c>
      <c r="B52" s="124" t="s">
        <v>45</v>
      </c>
      <c r="C52" s="125"/>
      <c r="D52" s="125"/>
      <c r="E52" s="125"/>
      <c r="F52" s="125"/>
      <c r="G52" s="125"/>
      <c r="H52" s="126"/>
      <c r="I52" s="127">
        <v>31.0</v>
      </c>
      <c r="J52" s="126"/>
      <c r="K52" s="139" t="b">
        <v>1</v>
      </c>
      <c r="L52" s="128" t="b">
        <v>1</v>
      </c>
      <c r="M52" s="128" t="b">
        <v>1</v>
      </c>
      <c r="N52" s="128" t="b">
        <v>1</v>
      </c>
      <c r="O52" s="128" t="b">
        <v>1</v>
      </c>
      <c r="P52" s="128" t="b">
        <v>1</v>
      </c>
      <c r="Q52" s="128" t="b">
        <v>1</v>
      </c>
      <c r="R52" s="128" t="b">
        <v>0</v>
      </c>
      <c r="S52" s="129" t="b">
        <v>0</v>
      </c>
      <c r="T52" s="129" t="b">
        <v>0</v>
      </c>
      <c r="U52" s="129" t="b">
        <v>0</v>
      </c>
      <c r="V52" s="129" t="b">
        <v>0</v>
      </c>
      <c r="W52" s="129" t="b">
        <v>0</v>
      </c>
      <c r="X52" s="129" t="b">
        <v>0</v>
      </c>
      <c r="Y52" s="129" t="b">
        <v>0</v>
      </c>
      <c r="Z52" s="129" t="b">
        <v>0</v>
      </c>
      <c r="AA52" s="129" t="b">
        <v>0</v>
      </c>
      <c r="AB52" s="129" t="b">
        <v>0</v>
      </c>
      <c r="AC52" s="129" t="b">
        <v>0</v>
      </c>
      <c r="AD52" s="129" t="b">
        <v>0</v>
      </c>
      <c r="AE52" s="129" t="b">
        <v>0</v>
      </c>
      <c r="AF52" s="129" t="b">
        <v>0</v>
      </c>
      <c r="AG52" s="129" t="b">
        <v>0</v>
      </c>
      <c r="AH52" s="129" t="b">
        <v>0</v>
      </c>
      <c r="AI52" s="129" t="b">
        <v>0</v>
      </c>
      <c r="AJ52" s="129" t="b">
        <v>0</v>
      </c>
      <c r="AK52" s="129" t="b">
        <v>0</v>
      </c>
      <c r="AL52" s="129" t="b">
        <v>0</v>
      </c>
      <c r="AM52" s="140" t="b">
        <v>0</v>
      </c>
      <c r="AN52" s="1"/>
      <c r="AO52" s="1"/>
      <c r="AP52" s="131">
        <f t="shared" si="12"/>
        <v>7</v>
      </c>
      <c r="AQ52" s="132">
        <f t="shared" si="13"/>
        <v>24</v>
      </c>
      <c r="AR52" s="133">
        <f t="shared" si="14"/>
        <v>0.2916666667</v>
      </c>
      <c r="AS52" s="134" t="str">
        <f>IFERROR(__xludf.DUMMYFUNCTION("IF(B52="""","""", SPARKLINE(AR52,{""CHARTTYPE"",""BAR"";""MAX"",1;""COLOR1"",""FAD5BE""}))"),"")</f>
        <v/>
      </c>
      <c r="AT52" s="135"/>
      <c r="AU52" s="135"/>
      <c r="AV52" s="135"/>
      <c r="AW52" s="136"/>
      <c r="AX52" s="137">
        <f t="shared" si="15"/>
        <v>0.2916666667</v>
      </c>
      <c r="AY52" s="138"/>
      <c r="AZ52" s="138" t="s">
        <v>51</v>
      </c>
      <c r="BA52" s="138"/>
      <c r="BB52" s="7"/>
      <c r="BC52" s="7"/>
      <c r="BD52" s="7"/>
      <c r="BE52" s="7"/>
      <c r="BF52" s="7"/>
      <c r="BG52" s="137">
        <f t="shared" si="16"/>
        <v>0.25</v>
      </c>
      <c r="BH52" s="7"/>
      <c r="BI52" s="7"/>
      <c r="BJ52" s="7"/>
      <c r="BK52" s="7"/>
      <c r="BL52" s="7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>
      <c r="A53" s="123">
        <v>16.0</v>
      </c>
      <c r="B53" s="124" t="s">
        <v>52</v>
      </c>
      <c r="C53" s="125"/>
      <c r="D53" s="125"/>
      <c r="E53" s="125"/>
      <c r="F53" s="125"/>
      <c r="G53" s="125"/>
      <c r="H53" s="126"/>
      <c r="I53" s="127">
        <v>31.0</v>
      </c>
      <c r="J53" s="126"/>
      <c r="K53" s="139" t="b">
        <v>1</v>
      </c>
      <c r="L53" s="128" t="b">
        <v>1</v>
      </c>
      <c r="M53" s="128" t="b">
        <v>1</v>
      </c>
      <c r="N53" s="128" t="b">
        <v>0</v>
      </c>
      <c r="O53" s="128" t="b">
        <v>1</v>
      </c>
      <c r="P53" s="128" t="b">
        <v>1</v>
      </c>
      <c r="Q53" s="128" t="b">
        <v>1</v>
      </c>
      <c r="R53" s="128" t="b">
        <v>0</v>
      </c>
      <c r="S53" s="129" t="b">
        <v>0</v>
      </c>
      <c r="T53" s="129" t="b">
        <v>0</v>
      </c>
      <c r="U53" s="129" t="b">
        <v>0</v>
      </c>
      <c r="V53" s="129" t="b">
        <v>0</v>
      </c>
      <c r="W53" s="129" t="b">
        <v>0</v>
      </c>
      <c r="X53" s="129" t="b">
        <v>0</v>
      </c>
      <c r="Y53" s="129" t="b">
        <v>0</v>
      </c>
      <c r="Z53" s="129" t="b">
        <v>0</v>
      </c>
      <c r="AA53" s="129" t="b">
        <v>0</v>
      </c>
      <c r="AB53" s="129" t="b">
        <v>0</v>
      </c>
      <c r="AC53" s="129" t="b">
        <v>0</v>
      </c>
      <c r="AD53" s="129" t="b">
        <v>0</v>
      </c>
      <c r="AE53" s="128" t="b">
        <v>0</v>
      </c>
      <c r="AF53" s="129" t="b">
        <v>0</v>
      </c>
      <c r="AG53" s="129" t="b">
        <v>0</v>
      </c>
      <c r="AH53" s="129" t="b">
        <v>0</v>
      </c>
      <c r="AI53" s="129" t="b">
        <v>0</v>
      </c>
      <c r="AJ53" s="129" t="b">
        <v>0</v>
      </c>
      <c r="AK53" s="129" t="b">
        <v>0</v>
      </c>
      <c r="AL53" s="129" t="b">
        <v>0</v>
      </c>
      <c r="AM53" s="140" t="b">
        <v>0</v>
      </c>
      <c r="AN53" s="1"/>
      <c r="AO53" s="1"/>
      <c r="AP53" s="131">
        <f t="shared" si="12"/>
        <v>6</v>
      </c>
      <c r="AQ53" s="132">
        <f t="shared" si="13"/>
        <v>25</v>
      </c>
      <c r="AR53" s="133">
        <f t="shared" si="14"/>
        <v>0.24</v>
      </c>
      <c r="AS53" s="134" t="str">
        <f>IFERROR(__xludf.DUMMYFUNCTION("IF(B53="""","""", SPARKLINE(AR53,{""CHARTTYPE"",""BAR"";""MAX"",1;""COLOR1"",""FAD5BE""}))"),"")</f>
        <v/>
      </c>
      <c r="AT53" s="135"/>
      <c r="AU53" s="135"/>
      <c r="AV53" s="135"/>
      <c r="AW53" s="136"/>
      <c r="AX53" s="137">
        <f t="shared" si="15"/>
        <v>0.24</v>
      </c>
      <c r="AY53" s="138"/>
      <c r="AZ53" s="138" t="s">
        <v>52</v>
      </c>
      <c r="BA53" s="138"/>
      <c r="BB53" s="7"/>
      <c r="BC53" s="7"/>
      <c r="BD53" s="7"/>
      <c r="BE53" s="7"/>
      <c r="BF53" s="7"/>
      <c r="BG53" s="137">
        <f t="shared" si="16"/>
        <v>0.24</v>
      </c>
      <c r="BH53" s="7"/>
      <c r="BI53" s="7"/>
      <c r="BJ53" s="7"/>
      <c r="BK53" s="7"/>
      <c r="BL53" s="7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>
      <c r="A54" s="123">
        <v>17.0</v>
      </c>
      <c r="B54" s="124" t="s">
        <v>53</v>
      </c>
      <c r="C54" s="125"/>
      <c r="D54" s="125"/>
      <c r="E54" s="125"/>
      <c r="F54" s="125"/>
      <c r="G54" s="125"/>
      <c r="H54" s="126"/>
      <c r="I54" s="127">
        <v>12.0</v>
      </c>
      <c r="J54" s="126"/>
      <c r="K54" s="143" t="b">
        <v>0</v>
      </c>
      <c r="L54" s="129" t="b">
        <v>0</v>
      </c>
      <c r="M54" s="129" t="b">
        <v>0</v>
      </c>
      <c r="N54" s="128" t="b">
        <v>1</v>
      </c>
      <c r="O54" s="129" t="b">
        <v>0</v>
      </c>
      <c r="P54" s="129" t="b">
        <v>0</v>
      </c>
      <c r="Q54" s="128" t="b">
        <v>0</v>
      </c>
      <c r="R54" s="128" t="b">
        <v>0</v>
      </c>
      <c r="S54" s="129" t="b">
        <v>0</v>
      </c>
      <c r="T54" s="129" t="b">
        <v>0</v>
      </c>
      <c r="U54" s="129" t="b">
        <v>0</v>
      </c>
      <c r="V54" s="129" t="b">
        <v>0</v>
      </c>
      <c r="W54" s="129" t="b">
        <v>0</v>
      </c>
      <c r="X54" s="129" t="b">
        <v>0</v>
      </c>
      <c r="Y54" s="129" t="b">
        <v>0</v>
      </c>
      <c r="Z54" s="129" t="b">
        <v>0</v>
      </c>
      <c r="AA54" s="129" t="b">
        <v>0</v>
      </c>
      <c r="AB54" s="129" t="b">
        <v>0</v>
      </c>
      <c r="AC54" s="129" t="b">
        <v>0</v>
      </c>
      <c r="AD54" s="129" t="b">
        <v>0</v>
      </c>
      <c r="AE54" s="129" t="b">
        <v>0</v>
      </c>
      <c r="AF54" s="129" t="b">
        <v>0</v>
      </c>
      <c r="AG54" s="129" t="b">
        <v>0</v>
      </c>
      <c r="AH54" s="129" t="b">
        <v>0</v>
      </c>
      <c r="AI54" s="129" t="b">
        <v>0</v>
      </c>
      <c r="AJ54" s="129" t="b">
        <v>0</v>
      </c>
      <c r="AK54" s="129" t="b">
        <v>0</v>
      </c>
      <c r="AL54" s="129" t="b">
        <v>0</v>
      </c>
      <c r="AM54" s="140" t="b">
        <v>0</v>
      </c>
      <c r="AN54" s="1"/>
      <c r="AO54" s="1"/>
      <c r="AP54" s="131">
        <f t="shared" si="12"/>
        <v>1</v>
      </c>
      <c r="AQ54" s="132">
        <f t="shared" si="13"/>
        <v>11</v>
      </c>
      <c r="AR54" s="133">
        <f t="shared" si="14"/>
        <v>0.09090909091</v>
      </c>
      <c r="AS54" s="134" t="str">
        <f>IFERROR(__xludf.DUMMYFUNCTION("IF(B54="""","""", SPARKLINE(AR54,{""CHARTTYPE"",""BAR"";""MAX"",1;""COLOR1"",""FAD5BE""}))"),"")</f>
        <v/>
      </c>
      <c r="AT54" s="135"/>
      <c r="AU54" s="135"/>
      <c r="AV54" s="135"/>
      <c r="AW54" s="136"/>
      <c r="AX54" s="137">
        <f t="shared" si="15"/>
        <v>0.09090909091</v>
      </c>
      <c r="AY54" s="138"/>
      <c r="AZ54" s="138" t="s">
        <v>54</v>
      </c>
      <c r="BA54" s="138"/>
      <c r="BB54" s="7"/>
      <c r="BC54" s="7"/>
      <c r="BD54" s="7"/>
      <c r="BE54" s="7"/>
      <c r="BF54" s="7"/>
      <c r="BG54" s="137">
        <f t="shared" si="16"/>
        <v>0.24</v>
      </c>
      <c r="BH54" s="7"/>
      <c r="BI54" s="7"/>
      <c r="BJ54" s="7"/>
      <c r="BK54" s="7"/>
      <c r="BL54" s="7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>
      <c r="A55" s="123">
        <v>18.0</v>
      </c>
      <c r="B55" s="124" t="s">
        <v>51</v>
      </c>
      <c r="C55" s="125"/>
      <c r="D55" s="125"/>
      <c r="E55" s="125"/>
      <c r="F55" s="125"/>
      <c r="G55" s="125"/>
      <c r="H55" s="126"/>
      <c r="I55" s="127">
        <v>25.0</v>
      </c>
      <c r="J55" s="126"/>
      <c r="K55" s="139" t="b">
        <v>1</v>
      </c>
      <c r="L55" s="128" t="b">
        <v>1</v>
      </c>
      <c r="M55" s="128" t="b">
        <v>0</v>
      </c>
      <c r="N55" s="128" t="b">
        <v>0</v>
      </c>
      <c r="O55" s="128" t="b">
        <v>1</v>
      </c>
      <c r="P55" s="128" t="b">
        <v>1</v>
      </c>
      <c r="Q55" s="128" t="b">
        <v>1</v>
      </c>
      <c r="R55" s="128" t="b">
        <v>0</v>
      </c>
      <c r="S55" s="129" t="b">
        <v>0</v>
      </c>
      <c r="T55" s="129" t="b">
        <v>0</v>
      </c>
      <c r="U55" s="129" t="b">
        <v>0</v>
      </c>
      <c r="V55" s="129" t="b">
        <v>0</v>
      </c>
      <c r="W55" s="129" t="b">
        <v>0</v>
      </c>
      <c r="X55" s="129" t="b">
        <v>0</v>
      </c>
      <c r="Y55" s="129" t="b">
        <v>0</v>
      </c>
      <c r="Z55" s="129" t="b">
        <v>0</v>
      </c>
      <c r="AA55" s="129" t="b">
        <v>0</v>
      </c>
      <c r="AB55" s="129" t="b">
        <v>0</v>
      </c>
      <c r="AC55" s="129" t="b">
        <v>0</v>
      </c>
      <c r="AD55" s="129" t="b">
        <v>0</v>
      </c>
      <c r="AE55" s="129" t="b">
        <v>0</v>
      </c>
      <c r="AF55" s="129" t="b">
        <v>0</v>
      </c>
      <c r="AG55" s="129" t="b">
        <v>0</v>
      </c>
      <c r="AH55" s="129" t="b">
        <v>0</v>
      </c>
      <c r="AI55" s="129" t="b">
        <v>0</v>
      </c>
      <c r="AJ55" s="129" t="b">
        <v>0</v>
      </c>
      <c r="AK55" s="129" t="b">
        <v>0</v>
      </c>
      <c r="AL55" s="129" t="b">
        <v>0</v>
      </c>
      <c r="AM55" s="140" t="b">
        <v>0</v>
      </c>
      <c r="AN55" s="1"/>
      <c r="AO55" s="1"/>
      <c r="AP55" s="131">
        <f t="shared" si="12"/>
        <v>5</v>
      </c>
      <c r="AQ55" s="132">
        <f t="shared" si="13"/>
        <v>20</v>
      </c>
      <c r="AR55" s="133">
        <f t="shared" si="14"/>
        <v>0.25</v>
      </c>
      <c r="AS55" s="134" t="str">
        <f>IFERROR(__xludf.DUMMYFUNCTION("IF(B55="""","""", SPARKLINE(AR55,{""CHARTTYPE"",""BAR"";""MAX"",1;""COLOR1"",""FAD5BE""}))"),"")</f>
        <v/>
      </c>
      <c r="AT55" s="135"/>
      <c r="AU55" s="135"/>
      <c r="AV55" s="135"/>
      <c r="AW55" s="136"/>
      <c r="AX55" s="137">
        <f t="shared" si="15"/>
        <v>0.25</v>
      </c>
      <c r="AY55" s="138"/>
      <c r="AZ55" s="138" t="s">
        <v>55</v>
      </c>
      <c r="BA55" s="138"/>
      <c r="BB55" s="7"/>
      <c r="BC55" s="7"/>
      <c r="BD55" s="7"/>
      <c r="BE55" s="7"/>
      <c r="BF55" s="7"/>
      <c r="BG55" s="137">
        <f t="shared" si="16"/>
        <v>0.2</v>
      </c>
      <c r="BH55" s="7"/>
      <c r="BI55" s="7"/>
      <c r="BJ55" s="7"/>
      <c r="BK55" s="7"/>
      <c r="BL55" s="7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>
      <c r="A56" s="123">
        <v>19.0</v>
      </c>
      <c r="B56" s="124" t="s">
        <v>56</v>
      </c>
      <c r="C56" s="125"/>
      <c r="D56" s="125"/>
      <c r="E56" s="125"/>
      <c r="F56" s="125"/>
      <c r="G56" s="125"/>
      <c r="H56" s="126"/>
      <c r="I56" s="127">
        <v>20.0</v>
      </c>
      <c r="J56" s="126"/>
      <c r="K56" s="143" t="b">
        <v>0</v>
      </c>
      <c r="L56" s="129" t="b">
        <v>0</v>
      </c>
      <c r="M56" s="128" t="b">
        <v>1</v>
      </c>
      <c r="N56" s="128" t="b">
        <v>1</v>
      </c>
      <c r="O56" s="129" t="b">
        <v>0</v>
      </c>
      <c r="P56" s="129" t="b">
        <v>0</v>
      </c>
      <c r="Q56" s="128" t="b">
        <v>1</v>
      </c>
      <c r="R56" s="128" t="b">
        <v>0</v>
      </c>
      <c r="S56" s="129" t="b">
        <v>0</v>
      </c>
      <c r="T56" s="129" t="b">
        <v>0</v>
      </c>
      <c r="U56" s="129" t="b">
        <v>0</v>
      </c>
      <c r="V56" s="129" t="b">
        <v>0</v>
      </c>
      <c r="W56" s="129" t="b">
        <v>0</v>
      </c>
      <c r="X56" s="129" t="b">
        <v>0</v>
      </c>
      <c r="Y56" s="129" t="b">
        <v>0</v>
      </c>
      <c r="Z56" s="129" t="b">
        <v>0</v>
      </c>
      <c r="AA56" s="129" t="b">
        <v>0</v>
      </c>
      <c r="AB56" s="129" t="b">
        <v>0</v>
      </c>
      <c r="AC56" s="129" t="b">
        <v>0</v>
      </c>
      <c r="AD56" s="129" t="b">
        <v>0</v>
      </c>
      <c r="AE56" s="129" t="b">
        <v>0</v>
      </c>
      <c r="AF56" s="129" t="b">
        <v>0</v>
      </c>
      <c r="AG56" s="129" t="b">
        <v>0</v>
      </c>
      <c r="AH56" s="129" t="b">
        <v>0</v>
      </c>
      <c r="AI56" s="129" t="b">
        <v>0</v>
      </c>
      <c r="AJ56" s="129" t="b">
        <v>0</v>
      </c>
      <c r="AK56" s="129" t="b">
        <v>0</v>
      </c>
      <c r="AL56" s="129" t="b">
        <v>0</v>
      </c>
      <c r="AM56" s="140" t="b">
        <v>0</v>
      </c>
      <c r="AN56" s="1"/>
      <c r="AO56" s="1"/>
      <c r="AP56" s="131">
        <f t="shared" si="12"/>
        <v>3</v>
      </c>
      <c r="AQ56" s="132">
        <f t="shared" si="13"/>
        <v>17</v>
      </c>
      <c r="AR56" s="133">
        <f t="shared" si="14"/>
        <v>0.1764705882</v>
      </c>
      <c r="AS56" s="134" t="str">
        <f>IFERROR(__xludf.DUMMYFUNCTION("IF(B56="""","""", SPARKLINE(AR56,{""CHARTTYPE"",""BAR"";""MAX"",1;""COLOR1"",""FAD5BE""}))"),"")</f>
        <v/>
      </c>
      <c r="AT56" s="135"/>
      <c r="AU56" s="135"/>
      <c r="AV56" s="135"/>
      <c r="AW56" s="136"/>
      <c r="AX56" s="137">
        <f t="shared" si="15"/>
        <v>0.1764705882</v>
      </c>
      <c r="AY56" s="138"/>
      <c r="AZ56" s="138" t="s">
        <v>57</v>
      </c>
      <c r="BA56" s="138"/>
      <c r="BB56" s="7"/>
      <c r="BC56" s="7"/>
      <c r="BD56" s="7"/>
      <c r="BE56" s="7"/>
      <c r="BF56" s="7"/>
      <c r="BG56" s="137">
        <f t="shared" si="16"/>
        <v>0.2</v>
      </c>
      <c r="BH56" s="7"/>
      <c r="BI56" s="7"/>
      <c r="BJ56" s="7"/>
      <c r="BK56" s="7"/>
      <c r="BL56" s="7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>
      <c r="A57" s="123">
        <v>20.0</v>
      </c>
      <c r="B57" s="124" t="s">
        <v>55</v>
      </c>
      <c r="C57" s="125"/>
      <c r="D57" s="125"/>
      <c r="E57" s="125"/>
      <c r="F57" s="125"/>
      <c r="G57" s="125"/>
      <c r="H57" s="126"/>
      <c r="I57" s="127">
        <v>12.0</v>
      </c>
      <c r="J57" s="126"/>
      <c r="K57" s="143" t="b">
        <v>0</v>
      </c>
      <c r="L57" s="129" t="b">
        <v>0</v>
      </c>
      <c r="M57" s="129" t="b">
        <v>0</v>
      </c>
      <c r="N57" s="128" t="b">
        <v>1</v>
      </c>
      <c r="O57" s="129" t="b">
        <v>0</v>
      </c>
      <c r="P57" s="129" t="b">
        <v>0</v>
      </c>
      <c r="Q57" s="128" t="b">
        <v>1</v>
      </c>
      <c r="R57" s="128" t="b">
        <v>0</v>
      </c>
      <c r="S57" s="129" t="b">
        <v>0</v>
      </c>
      <c r="T57" s="129" t="b">
        <v>0</v>
      </c>
      <c r="U57" s="129" t="b">
        <v>0</v>
      </c>
      <c r="V57" s="129" t="b">
        <v>0</v>
      </c>
      <c r="W57" s="129" t="b">
        <v>0</v>
      </c>
      <c r="X57" s="129" t="b">
        <v>0</v>
      </c>
      <c r="Y57" s="129" t="b">
        <v>0</v>
      </c>
      <c r="Z57" s="129" t="b">
        <v>0</v>
      </c>
      <c r="AA57" s="129" t="b">
        <v>0</v>
      </c>
      <c r="AB57" s="129" t="b">
        <v>0</v>
      </c>
      <c r="AC57" s="129" t="b">
        <v>0</v>
      </c>
      <c r="AD57" s="129" t="b">
        <v>0</v>
      </c>
      <c r="AE57" s="129" t="b">
        <v>0</v>
      </c>
      <c r="AF57" s="129" t="b">
        <v>0</v>
      </c>
      <c r="AG57" s="129" t="b">
        <v>0</v>
      </c>
      <c r="AH57" s="129" t="b">
        <v>0</v>
      </c>
      <c r="AI57" s="129" t="b">
        <v>0</v>
      </c>
      <c r="AJ57" s="129" t="b">
        <v>0</v>
      </c>
      <c r="AK57" s="129" t="b">
        <v>0</v>
      </c>
      <c r="AL57" s="129" t="b">
        <v>0</v>
      </c>
      <c r="AM57" s="140" t="b">
        <v>0</v>
      </c>
      <c r="AN57" s="1"/>
      <c r="AO57" s="1"/>
      <c r="AP57" s="131">
        <f t="shared" si="12"/>
        <v>2</v>
      </c>
      <c r="AQ57" s="132">
        <f t="shared" si="13"/>
        <v>10</v>
      </c>
      <c r="AR57" s="133">
        <f t="shared" si="14"/>
        <v>0.2</v>
      </c>
      <c r="AS57" s="134" t="str">
        <f>IFERROR(__xludf.DUMMYFUNCTION("IF(B57="""","""", SPARKLINE(AR57,{""CHARTTYPE"",""BAR"";""MAX"",1;""COLOR1"",""FAD5BE""}))"),"")</f>
        <v/>
      </c>
      <c r="AT57" s="135"/>
      <c r="AU57" s="135"/>
      <c r="AV57" s="135"/>
      <c r="AW57" s="136"/>
      <c r="AX57" s="137">
        <f t="shared" si="15"/>
        <v>0.2</v>
      </c>
      <c r="AY57" s="138"/>
      <c r="AZ57" s="138" t="s">
        <v>50</v>
      </c>
      <c r="BA57" s="138"/>
      <c r="BB57" s="7"/>
      <c r="BC57" s="7"/>
      <c r="BD57" s="7"/>
      <c r="BE57" s="7"/>
      <c r="BF57" s="7"/>
      <c r="BG57" s="137">
        <f t="shared" si="16"/>
        <v>0.1818181818</v>
      </c>
      <c r="BH57" s="7"/>
      <c r="BI57" s="7"/>
      <c r="BJ57" s="7"/>
      <c r="BK57" s="7"/>
      <c r="BL57" s="7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>
      <c r="A58" s="123">
        <v>21.0</v>
      </c>
      <c r="B58" s="124" t="s">
        <v>38</v>
      </c>
      <c r="C58" s="125"/>
      <c r="D58" s="125"/>
      <c r="E58" s="125"/>
      <c r="F58" s="125"/>
      <c r="G58" s="125"/>
      <c r="H58" s="126"/>
      <c r="I58" s="127">
        <v>20.0</v>
      </c>
      <c r="J58" s="126"/>
      <c r="K58" s="139" t="b">
        <v>1</v>
      </c>
      <c r="L58" s="129" t="b">
        <v>0</v>
      </c>
      <c r="M58" s="128" t="b">
        <v>1</v>
      </c>
      <c r="N58" s="128" t="b">
        <v>1</v>
      </c>
      <c r="O58" s="129" t="b">
        <v>0</v>
      </c>
      <c r="P58" s="128" t="b">
        <v>1</v>
      </c>
      <c r="Q58" s="128" t="b">
        <v>1</v>
      </c>
      <c r="R58" s="128" t="b">
        <v>0</v>
      </c>
      <c r="S58" s="129" t="b">
        <v>0</v>
      </c>
      <c r="T58" s="129" t="b">
        <v>0</v>
      </c>
      <c r="U58" s="129" t="b">
        <v>0</v>
      </c>
      <c r="V58" s="129" t="b">
        <v>0</v>
      </c>
      <c r="W58" s="129" t="b">
        <v>0</v>
      </c>
      <c r="X58" s="129" t="b">
        <v>0</v>
      </c>
      <c r="Y58" s="129" t="b">
        <v>0</v>
      </c>
      <c r="Z58" s="129" t="b">
        <v>0</v>
      </c>
      <c r="AA58" s="129" t="b">
        <v>0</v>
      </c>
      <c r="AB58" s="129" t="b">
        <v>0</v>
      </c>
      <c r="AC58" s="129" t="b">
        <v>0</v>
      </c>
      <c r="AD58" s="129" t="b">
        <v>0</v>
      </c>
      <c r="AE58" s="129" t="b">
        <v>0</v>
      </c>
      <c r="AF58" s="129" t="b">
        <v>0</v>
      </c>
      <c r="AG58" s="129" t="b">
        <v>0</v>
      </c>
      <c r="AH58" s="129" t="b">
        <v>0</v>
      </c>
      <c r="AI58" s="129" t="b">
        <v>0</v>
      </c>
      <c r="AJ58" s="129" t="b">
        <v>0</v>
      </c>
      <c r="AK58" s="129" t="b">
        <v>0</v>
      </c>
      <c r="AL58" s="129" t="b">
        <v>0</v>
      </c>
      <c r="AM58" s="140" t="b">
        <v>0</v>
      </c>
      <c r="AN58" s="1"/>
      <c r="AO58" s="1"/>
      <c r="AP58" s="131">
        <f t="shared" si="12"/>
        <v>5</v>
      </c>
      <c r="AQ58" s="132">
        <f t="shared" si="13"/>
        <v>15</v>
      </c>
      <c r="AR58" s="133">
        <f t="shared" si="14"/>
        <v>0.3333333333</v>
      </c>
      <c r="AS58" s="134" t="str">
        <f>IFERROR(__xludf.DUMMYFUNCTION("IF(B58="""","""", SPARKLINE(AR58,{""CHARTTYPE"",""BAR"";""MAX"",1;""COLOR1"",""FAD5BE""}))"),"")</f>
        <v/>
      </c>
      <c r="AT58" s="135"/>
      <c r="AU58" s="135"/>
      <c r="AV58" s="135"/>
      <c r="AW58" s="136"/>
      <c r="AX58" s="137">
        <f t="shared" si="15"/>
        <v>0.3333333333</v>
      </c>
      <c r="AY58" s="138"/>
      <c r="AZ58" s="138" t="s">
        <v>56</v>
      </c>
      <c r="BA58" s="138"/>
      <c r="BB58" s="7"/>
      <c r="BC58" s="7"/>
      <c r="BD58" s="7"/>
      <c r="BE58" s="7"/>
      <c r="BF58" s="7"/>
      <c r="BG58" s="137">
        <f t="shared" si="16"/>
        <v>0.1764705882</v>
      </c>
      <c r="BH58" s="7"/>
      <c r="BI58" s="7"/>
      <c r="BJ58" s="7"/>
      <c r="BK58" s="7"/>
      <c r="BL58" s="7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>
      <c r="A59" s="123">
        <v>22.0</v>
      </c>
      <c r="B59" s="124" t="s">
        <v>54</v>
      </c>
      <c r="C59" s="125"/>
      <c r="D59" s="125"/>
      <c r="E59" s="125"/>
      <c r="F59" s="125"/>
      <c r="G59" s="125"/>
      <c r="H59" s="126"/>
      <c r="I59" s="127">
        <v>31.0</v>
      </c>
      <c r="J59" s="126"/>
      <c r="K59" s="139" t="b">
        <v>1</v>
      </c>
      <c r="L59" s="128" t="b">
        <v>1</v>
      </c>
      <c r="M59" s="128" t="b">
        <v>1</v>
      </c>
      <c r="N59" s="129" t="b">
        <v>0</v>
      </c>
      <c r="O59" s="128" t="b">
        <v>1</v>
      </c>
      <c r="P59" s="128" t="b">
        <v>1</v>
      </c>
      <c r="Q59" s="128" t="b">
        <v>1</v>
      </c>
      <c r="R59" s="128" t="b">
        <v>0</v>
      </c>
      <c r="S59" s="129" t="b">
        <v>0</v>
      </c>
      <c r="T59" s="129" t="b">
        <v>0</v>
      </c>
      <c r="U59" s="129" t="b">
        <v>0</v>
      </c>
      <c r="V59" s="129" t="b">
        <v>0</v>
      </c>
      <c r="W59" s="129" t="b">
        <v>0</v>
      </c>
      <c r="X59" s="129" t="b">
        <v>0</v>
      </c>
      <c r="Y59" s="129" t="b">
        <v>0</v>
      </c>
      <c r="Z59" s="129" t="b">
        <v>0</v>
      </c>
      <c r="AA59" s="129" t="b">
        <v>0</v>
      </c>
      <c r="AB59" s="129" t="b">
        <v>0</v>
      </c>
      <c r="AC59" s="129" t="b">
        <v>0</v>
      </c>
      <c r="AD59" s="129" t="b">
        <v>0</v>
      </c>
      <c r="AE59" s="129" t="b">
        <v>0</v>
      </c>
      <c r="AF59" s="129" t="b">
        <v>0</v>
      </c>
      <c r="AG59" s="129" t="b">
        <v>0</v>
      </c>
      <c r="AH59" s="129" t="b">
        <v>0</v>
      </c>
      <c r="AI59" s="129" t="b">
        <v>0</v>
      </c>
      <c r="AJ59" s="129" t="b">
        <v>0</v>
      </c>
      <c r="AK59" s="129" t="b">
        <v>0</v>
      </c>
      <c r="AL59" s="129" t="b">
        <v>0</v>
      </c>
      <c r="AM59" s="140" t="b">
        <v>0</v>
      </c>
      <c r="AN59" s="1"/>
      <c r="AO59" s="1"/>
      <c r="AP59" s="131">
        <f t="shared" si="12"/>
        <v>6</v>
      </c>
      <c r="AQ59" s="132">
        <f t="shared" si="13"/>
        <v>25</v>
      </c>
      <c r="AR59" s="133">
        <f t="shared" si="14"/>
        <v>0.24</v>
      </c>
      <c r="AS59" s="134" t="str">
        <f>IFERROR(__xludf.DUMMYFUNCTION("IF(B59="""","""", SPARKLINE(AR59,{""CHARTTYPE"",""BAR"";""MAX"",1;""COLOR1"",""FAD5BE""}))"),"")</f>
        <v/>
      </c>
      <c r="AT59" s="135"/>
      <c r="AU59" s="135"/>
      <c r="AV59" s="135"/>
      <c r="AW59" s="136"/>
      <c r="AX59" s="137">
        <f t="shared" si="15"/>
        <v>0.24</v>
      </c>
      <c r="AY59" s="138"/>
      <c r="AZ59" s="138" t="s">
        <v>48</v>
      </c>
      <c r="BA59" s="138"/>
      <c r="BB59" s="7"/>
      <c r="BC59" s="7"/>
      <c r="BD59" s="7"/>
      <c r="BE59" s="7"/>
      <c r="BF59" s="7"/>
      <c r="BG59" s="137">
        <f t="shared" si="16"/>
        <v>0.1111111111</v>
      </c>
      <c r="BH59" s="7"/>
      <c r="BI59" s="7"/>
      <c r="BJ59" s="7"/>
      <c r="BK59" s="7"/>
      <c r="BL59" s="7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>
      <c r="A60" s="123">
        <v>23.0</v>
      </c>
      <c r="B60" s="124" t="s">
        <v>47</v>
      </c>
      <c r="C60" s="125"/>
      <c r="D60" s="125"/>
      <c r="E60" s="125"/>
      <c r="F60" s="125"/>
      <c r="G60" s="125"/>
      <c r="H60" s="126"/>
      <c r="I60" s="127">
        <v>31.0</v>
      </c>
      <c r="J60" s="126"/>
      <c r="K60" s="139" t="b">
        <v>1</v>
      </c>
      <c r="L60" s="128" t="b">
        <v>1</v>
      </c>
      <c r="M60" s="128" t="b">
        <v>1</v>
      </c>
      <c r="N60" s="128" t="b">
        <v>1</v>
      </c>
      <c r="O60" s="128" t="b">
        <v>1</v>
      </c>
      <c r="P60" s="128" t="b">
        <v>1</v>
      </c>
      <c r="Q60" s="128" t="b">
        <v>1</v>
      </c>
      <c r="R60" s="128" t="b">
        <v>0</v>
      </c>
      <c r="S60" s="129" t="b">
        <v>0</v>
      </c>
      <c r="T60" s="129" t="b">
        <v>0</v>
      </c>
      <c r="U60" s="129" t="b">
        <v>0</v>
      </c>
      <c r="V60" s="129" t="b">
        <v>0</v>
      </c>
      <c r="W60" s="129" t="b">
        <v>0</v>
      </c>
      <c r="X60" s="129" t="b">
        <v>0</v>
      </c>
      <c r="Y60" s="129" t="b">
        <v>0</v>
      </c>
      <c r="Z60" s="129" t="b">
        <v>0</v>
      </c>
      <c r="AA60" s="129" t="b">
        <v>0</v>
      </c>
      <c r="AB60" s="129" t="b">
        <v>0</v>
      </c>
      <c r="AC60" s="129" t="b">
        <v>0</v>
      </c>
      <c r="AD60" s="129" t="b">
        <v>0</v>
      </c>
      <c r="AE60" s="129" t="b">
        <v>0</v>
      </c>
      <c r="AF60" s="129" t="b">
        <v>0</v>
      </c>
      <c r="AG60" s="129" t="b">
        <v>0</v>
      </c>
      <c r="AH60" s="129" t="b">
        <v>0</v>
      </c>
      <c r="AI60" s="129" t="b">
        <v>0</v>
      </c>
      <c r="AJ60" s="129" t="b">
        <v>0</v>
      </c>
      <c r="AK60" s="129" t="b">
        <v>0</v>
      </c>
      <c r="AL60" s="129" t="b">
        <v>0</v>
      </c>
      <c r="AM60" s="140" t="b">
        <v>0</v>
      </c>
      <c r="AN60" s="1"/>
      <c r="AO60" s="1"/>
      <c r="AP60" s="131">
        <f t="shared" si="12"/>
        <v>7</v>
      </c>
      <c r="AQ60" s="132">
        <f t="shared" si="13"/>
        <v>24</v>
      </c>
      <c r="AR60" s="133">
        <f t="shared" si="14"/>
        <v>0.2916666667</v>
      </c>
      <c r="AS60" s="134" t="str">
        <f>IFERROR(__xludf.DUMMYFUNCTION("IF(B60="""","""", SPARKLINE(AR60,{""CHARTTYPE"",""BAR"";""MAX"",1;""COLOR1"",""FAD5BE""}))"),"")</f>
        <v/>
      </c>
      <c r="AT60" s="135"/>
      <c r="AU60" s="135"/>
      <c r="AV60" s="135"/>
      <c r="AW60" s="136"/>
      <c r="AX60" s="137">
        <f t="shared" si="15"/>
        <v>0.2916666667</v>
      </c>
      <c r="AY60" s="138"/>
      <c r="AZ60" s="138" t="s">
        <v>49</v>
      </c>
      <c r="BA60" s="138"/>
      <c r="BB60" s="7"/>
      <c r="BC60" s="7"/>
      <c r="BD60" s="7"/>
      <c r="BE60" s="7"/>
      <c r="BF60" s="7"/>
      <c r="BG60" s="137">
        <f t="shared" si="16"/>
        <v>0.09090909091</v>
      </c>
      <c r="BH60" s="7"/>
      <c r="BI60" s="7"/>
      <c r="BJ60" s="7"/>
      <c r="BK60" s="7"/>
      <c r="BL60" s="7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>
      <c r="A61" s="123">
        <v>24.0</v>
      </c>
      <c r="B61" s="124" t="s">
        <v>57</v>
      </c>
      <c r="C61" s="125"/>
      <c r="D61" s="125"/>
      <c r="E61" s="125"/>
      <c r="F61" s="125"/>
      <c r="G61" s="125"/>
      <c r="H61" s="126"/>
      <c r="I61" s="127">
        <v>12.0</v>
      </c>
      <c r="J61" s="126"/>
      <c r="K61" s="139" t="b">
        <v>1</v>
      </c>
      <c r="L61" s="129" t="b">
        <v>0</v>
      </c>
      <c r="M61" s="128" t="b">
        <v>1</v>
      </c>
      <c r="N61" s="129" t="b">
        <v>0</v>
      </c>
      <c r="O61" s="129" t="b">
        <v>0</v>
      </c>
      <c r="P61" s="129" t="b">
        <v>0</v>
      </c>
      <c r="Q61" s="128" t="b">
        <v>0</v>
      </c>
      <c r="R61" s="128" t="b">
        <v>0</v>
      </c>
      <c r="S61" s="129" t="b">
        <v>0</v>
      </c>
      <c r="T61" s="129" t="b">
        <v>0</v>
      </c>
      <c r="U61" s="129" t="b">
        <v>0</v>
      </c>
      <c r="V61" s="129" t="b">
        <v>0</v>
      </c>
      <c r="W61" s="129" t="b">
        <v>0</v>
      </c>
      <c r="X61" s="129" t="b">
        <v>0</v>
      </c>
      <c r="Y61" s="129" t="b">
        <v>0</v>
      </c>
      <c r="Z61" s="129" t="b">
        <v>0</v>
      </c>
      <c r="AA61" s="129" t="b">
        <v>0</v>
      </c>
      <c r="AB61" s="129" t="b">
        <v>0</v>
      </c>
      <c r="AC61" s="129" t="b">
        <v>0</v>
      </c>
      <c r="AD61" s="129" t="b">
        <v>0</v>
      </c>
      <c r="AE61" s="129" t="b">
        <v>0</v>
      </c>
      <c r="AF61" s="129" t="b">
        <v>0</v>
      </c>
      <c r="AG61" s="129" t="b">
        <v>0</v>
      </c>
      <c r="AH61" s="129" t="b">
        <v>0</v>
      </c>
      <c r="AI61" s="129" t="b">
        <v>0</v>
      </c>
      <c r="AJ61" s="129" t="b">
        <v>0</v>
      </c>
      <c r="AK61" s="129" t="b">
        <v>0</v>
      </c>
      <c r="AL61" s="129" t="b">
        <v>0</v>
      </c>
      <c r="AM61" s="140" t="b">
        <v>0</v>
      </c>
      <c r="AN61" s="1"/>
      <c r="AO61" s="1"/>
      <c r="AP61" s="131">
        <f t="shared" si="12"/>
        <v>2</v>
      </c>
      <c r="AQ61" s="132">
        <f t="shared" si="13"/>
        <v>10</v>
      </c>
      <c r="AR61" s="133">
        <f t="shared" si="14"/>
        <v>0.2</v>
      </c>
      <c r="AS61" s="134" t="str">
        <f>IFERROR(__xludf.DUMMYFUNCTION("IF(B61="""","""", SPARKLINE(AR61,{""CHARTTYPE"",""BAR"";""MAX"",1;""COLOR1"",""FAD5BE""}))"),"")</f>
        <v/>
      </c>
      <c r="AT61" s="135"/>
      <c r="AU61" s="135"/>
      <c r="AV61" s="135"/>
      <c r="AW61" s="136"/>
      <c r="AX61" s="137">
        <f t="shared" si="15"/>
        <v>0.2</v>
      </c>
      <c r="AY61" s="138"/>
      <c r="AZ61" s="138" t="s">
        <v>53</v>
      </c>
      <c r="BA61" s="138"/>
      <c r="BB61" s="7"/>
      <c r="BC61" s="7"/>
      <c r="BD61" s="7"/>
      <c r="BE61" s="7"/>
      <c r="BF61" s="7"/>
      <c r="BG61" s="137">
        <f t="shared" si="16"/>
        <v>0.09090909091</v>
      </c>
      <c r="BH61" s="7"/>
      <c r="BI61" s="7"/>
      <c r="BJ61" s="7"/>
      <c r="BK61" s="7"/>
      <c r="BL61" s="7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>
      <c r="A62" s="123">
        <v>25.0</v>
      </c>
      <c r="B62" s="145" t="s">
        <v>58</v>
      </c>
      <c r="C62" s="29"/>
      <c r="D62" s="29"/>
      <c r="E62" s="29"/>
      <c r="F62" s="29"/>
      <c r="G62" s="29"/>
      <c r="H62" s="146"/>
      <c r="I62" s="147">
        <v>8.0</v>
      </c>
      <c r="J62" s="148"/>
      <c r="K62" s="149" t="b">
        <v>0</v>
      </c>
      <c r="L62" s="150" t="b">
        <v>0</v>
      </c>
      <c r="M62" s="151" t="b">
        <v>0</v>
      </c>
      <c r="N62" s="151" t="b">
        <v>0</v>
      </c>
      <c r="O62" s="150" t="b">
        <v>0</v>
      </c>
      <c r="P62" s="150" t="b">
        <v>0</v>
      </c>
      <c r="Q62" s="151" t="b">
        <v>0</v>
      </c>
      <c r="R62" s="151" t="b">
        <v>0</v>
      </c>
      <c r="S62" s="150" t="b">
        <v>0</v>
      </c>
      <c r="T62" s="150" t="b">
        <v>0</v>
      </c>
      <c r="U62" s="150" t="b">
        <v>0</v>
      </c>
      <c r="V62" s="150" t="b">
        <v>0</v>
      </c>
      <c r="W62" s="150" t="b">
        <v>0</v>
      </c>
      <c r="X62" s="150" t="b">
        <v>0</v>
      </c>
      <c r="Y62" s="150" t="b">
        <v>0</v>
      </c>
      <c r="Z62" s="150" t="b">
        <v>0</v>
      </c>
      <c r="AA62" s="150" t="b">
        <v>0</v>
      </c>
      <c r="AB62" s="150" t="b">
        <v>0</v>
      </c>
      <c r="AC62" s="150" t="b">
        <v>0</v>
      </c>
      <c r="AD62" s="150" t="b">
        <v>0</v>
      </c>
      <c r="AE62" s="150" t="b">
        <v>0</v>
      </c>
      <c r="AF62" s="150" t="b">
        <v>0</v>
      </c>
      <c r="AG62" s="150" t="b">
        <v>0</v>
      </c>
      <c r="AH62" s="150" t="b">
        <v>0</v>
      </c>
      <c r="AI62" s="150" t="b">
        <v>0</v>
      </c>
      <c r="AJ62" s="150" t="b">
        <v>0</v>
      </c>
      <c r="AK62" s="150" t="b">
        <v>0</v>
      </c>
      <c r="AL62" s="150" t="b">
        <v>0</v>
      </c>
      <c r="AM62" s="152" t="b">
        <v>0</v>
      </c>
      <c r="AN62" s="1"/>
      <c r="AO62" s="1"/>
      <c r="AP62" s="153">
        <f t="shared" si="12"/>
        <v>0</v>
      </c>
      <c r="AQ62" s="154">
        <f t="shared" si="13"/>
        <v>8</v>
      </c>
      <c r="AR62" s="155">
        <f t="shared" si="14"/>
        <v>0</v>
      </c>
      <c r="AS62" s="156" t="str">
        <f>IFERROR(__xludf.DUMMYFUNCTION("IF(B62="""","""", SPARKLINE(AR62,{""CHARTTYPE"",""BAR"";""MAX"",1;""COLOR1"",""FAD5BE""}))"),"")</f>
        <v/>
      </c>
      <c r="AT62" s="157"/>
      <c r="AU62" s="157"/>
      <c r="AV62" s="157"/>
      <c r="AW62" s="158"/>
      <c r="AX62" s="137">
        <f t="shared" si="15"/>
        <v>0</v>
      </c>
      <c r="AY62" s="138"/>
      <c r="AZ62" s="138" t="s">
        <v>58</v>
      </c>
      <c r="BA62" s="138"/>
      <c r="BB62" s="7"/>
      <c r="BC62" s="7"/>
      <c r="BD62" s="7"/>
      <c r="BE62" s="7"/>
      <c r="BF62" s="7"/>
      <c r="BG62" s="137">
        <f t="shared" si="16"/>
        <v>0</v>
      </c>
      <c r="BH62" s="7"/>
      <c r="BI62" s="7"/>
      <c r="BJ62" s="7"/>
      <c r="BK62" s="7"/>
      <c r="BL62" s="7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</row>
  </sheetData>
  <mergeCells count="157">
    <mergeCell ref="AQ24:AW24"/>
    <mergeCell ref="AQ25:AW25"/>
    <mergeCell ref="AP17:AW17"/>
    <mergeCell ref="AQ18:AW18"/>
    <mergeCell ref="AQ19:AW19"/>
    <mergeCell ref="AQ20:AW20"/>
    <mergeCell ref="AQ21:AW21"/>
    <mergeCell ref="AQ22:AW22"/>
    <mergeCell ref="AQ23:AW23"/>
    <mergeCell ref="B2:H4"/>
    <mergeCell ref="AP2:AW5"/>
    <mergeCell ref="B5:H6"/>
    <mergeCell ref="B9:H9"/>
    <mergeCell ref="B10:D10"/>
    <mergeCell ref="E10:H10"/>
    <mergeCell ref="B11:D11"/>
    <mergeCell ref="B17:H17"/>
    <mergeCell ref="B18:H18"/>
    <mergeCell ref="E11:G11"/>
    <mergeCell ref="I13:O14"/>
    <mergeCell ref="P13:V14"/>
    <mergeCell ref="W13:AC14"/>
    <mergeCell ref="AD13:AJ14"/>
    <mergeCell ref="AK13:AM14"/>
    <mergeCell ref="AP13:AW16"/>
    <mergeCell ref="AN19:AO19"/>
    <mergeCell ref="AN20:AO20"/>
    <mergeCell ref="AN21:AO21"/>
    <mergeCell ref="AN22:AO22"/>
    <mergeCell ref="AN23:AO23"/>
    <mergeCell ref="AN24:AO24"/>
    <mergeCell ref="AN25:AO25"/>
    <mergeCell ref="AN26:AO26"/>
    <mergeCell ref="I17:O22"/>
    <mergeCell ref="P17:V22"/>
    <mergeCell ref="W17:AC22"/>
    <mergeCell ref="AD17:AJ22"/>
    <mergeCell ref="AK17:AM22"/>
    <mergeCell ref="AN17:AO17"/>
    <mergeCell ref="AN18:AO18"/>
    <mergeCell ref="B13:H16"/>
    <mergeCell ref="B19:H19"/>
    <mergeCell ref="B20:H20"/>
    <mergeCell ref="B21:H21"/>
    <mergeCell ref="B22:H22"/>
    <mergeCell ref="B23:H23"/>
    <mergeCell ref="B24:H24"/>
    <mergeCell ref="I28:O28"/>
    <mergeCell ref="P28:V28"/>
    <mergeCell ref="I26:O26"/>
    <mergeCell ref="I27:O27"/>
    <mergeCell ref="B34:H37"/>
    <mergeCell ref="I34:J37"/>
    <mergeCell ref="K34:Q35"/>
    <mergeCell ref="R34:X35"/>
    <mergeCell ref="Y34:AE35"/>
    <mergeCell ref="AQ26:AW26"/>
    <mergeCell ref="AQ27:AW27"/>
    <mergeCell ref="AS34:AW34"/>
    <mergeCell ref="AS35:AW37"/>
    <mergeCell ref="AS38:AW38"/>
    <mergeCell ref="AS39:AW39"/>
    <mergeCell ref="AS40:AW40"/>
    <mergeCell ref="AS41:AW41"/>
    <mergeCell ref="AS42:AW42"/>
    <mergeCell ref="AS45:AW45"/>
    <mergeCell ref="AS46:AW46"/>
    <mergeCell ref="AS47:AW47"/>
    <mergeCell ref="AS48:AW48"/>
    <mergeCell ref="AS49:AW49"/>
    <mergeCell ref="AS57:AW57"/>
    <mergeCell ref="AS58:AW58"/>
    <mergeCell ref="AS59:AW59"/>
    <mergeCell ref="AS60:AW60"/>
    <mergeCell ref="AS61:AW61"/>
    <mergeCell ref="AS62:AW62"/>
    <mergeCell ref="AS50:AW50"/>
    <mergeCell ref="AS51:AW51"/>
    <mergeCell ref="AS52:AW52"/>
    <mergeCell ref="AS53:AW53"/>
    <mergeCell ref="AS54:AW54"/>
    <mergeCell ref="AS55:AW55"/>
    <mergeCell ref="AS56:AW56"/>
    <mergeCell ref="B38:H38"/>
    <mergeCell ref="I38:J38"/>
    <mergeCell ref="B39:H39"/>
    <mergeCell ref="I39:J39"/>
    <mergeCell ref="B40:H40"/>
    <mergeCell ref="I40:J40"/>
    <mergeCell ref="I41:J41"/>
    <mergeCell ref="B45:H45"/>
    <mergeCell ref="I45:J45"/>
    <mergeCell ref="B46:H46"/>
    <mergeCell ref="I46:J46"/>
    <mergeCell ref="B47:H47"/>
    <mergeCell ref="I47:J47"/>
    <mergeCell ref="I48:J48"/>
    <mergeCell ref="B48:H48"/>
    <mergeCell ref="B49:H49"/>
    <mergeCell ref="I49:J49"/>
    <mergeCell ref="B50:H50"/>
    <mergeCell ref="I50:J50"/>
    <mergeCell ref="B51:H51"/>
    <mergeCell ref="I51:J51"/>
    <mergeCell ref="B52:H52"/>
    <mergeCell ref="I52:J52"/>
    <mergeCell ref="B53:H53"/>
    <mergeCell ref="I53:J53"/>
    <mergeCell ref="B54:H54"/>
    <mergeCell ref="I54:J54"/>
    <mergeCell ref="I55:J55"/>
    <mergeCell ref="B59:H59"/>
    <mergeCell ref="I59:J59"/>
    <mergeCell ref="B60:H60"/>
    <mergeCell ref="I60:J60"/>
    <mergeCell ref="B61:H61"/>
    <mergeCell ref="I61:J61"/>
    <mergeCell ref="B62:H62"/>
    <mergeCell ref="I62:J62"/>
    <mergeCell ref="B55:H55"/>
    <mergeCell ref="B56:H56"/>
    <mergeCell ref="I56:J56"/>
    <mergeCell ref="B57:H57"/>
    <mergeCell ref="I57:J57"/>
    <mergeCell ref="B58:H58"/>
    <mergeCell ref="I58:J58"/>
    <mergeCell ref="P27:V27"/>
    <mergeCell ref="W27:AC27"/>
    <mergeCell ref="AD27:AJ27"/>
    <mergeCell ref="AK27:AM27"/>
    <mergeCell ref="AF34:AL35"/>
    <mergeCell ref="AM34:AM35"/>
    <mergeCell ref="AP34:AP37"/>
    <mergeCell ref="AQ34:AQ37"/>
    <mergeCell ref="AR34:AR37"/>
    <mergeCell ref="W28:AC28"/>
    <mergeCell ref="AD28:AJ28"/>
    <mergeCell ref="AK28:AM28"/>
    <mergeCell ref="AN28:AO28"/>
    <mergeCell ref="AP28:AW28"/>
    <mergeCell ref="AN29:AO29"/>
    <mergeCell ref="B25:H25"/>
    <mergeCell ref="B26:H28"/>
    <mergeCell ref="P26:V26"/>
    <mergeCell ref="W26:AC26"/>
    <mergeCell ref="AD26:AJ26"/>
    <mergeCell ref="AK26:AM26"/>
    <mergeCell ref="AN27:AO27"/>
    <mergeCell ref="B41:H41"/>
    <mergeCell ref="B42:H42"/>
    <mergeCell ref="I42:J42"/>
    <mergeCell ref="B43:H43"/>
    <mergeCell ref="I43:J43"/>
    <mergeCell ref="AS43:AW43"/>
    <mergeCell ref="B44:H44"/>
    <mergeCell ref="I44:J44"/>
    <mergeCell ref="AS44:AW44"/>
  </mergeCells>
  <dataValidations>
    <dataValidation type="list" allowBlank="1" showErrorMessage="1" sqref="E11">
      <formula1>Sheet1!$BA$1:$BA$32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